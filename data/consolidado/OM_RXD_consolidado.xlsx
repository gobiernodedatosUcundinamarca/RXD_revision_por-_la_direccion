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Por sistema" sheetId="2" state="visible" r:id="rId2"/>
    <sheet xmlns:r="http://schemas.openxmlformats.org/officeDocument/2006/relationships" name="Por vigencia" sheetId="3" state="visible" r:id="rId3"/>
    <sheet xmlns:r="http://schemas.openxmlformats.org/officeDocument/2006/relationships" name="Por corte" sheetId="4" state="visible" r:id="rId4"/>
    <sheet xmlns:r="http://schemas.openxmlformats.org/officeDocument/2006/relationships" name="OM" sheetId="5" state="visible" r:id="rId5"/>
    <sheet xmlns:r="http://schemas.openxmlformats.org/officeDocument/2006/relationships" name="Seguimientos" sheetId="6" state="visible" r:id="rId6"/>
    <sheet xmlns:r="http://schemas.openxmlformats.org/officeDocument/2006/relationships" name="Escala" sheetId="7" state="visible" r:id="rId7"/>
  </sheets>
  <definedNames>
    <definedName name="_xlnm._FilterDatabase" localSheetId="2" hidden="1">'Por vigencia'!$A$4:$G$20</definedName>
    <definedName name="_xlnm._FilterDatabase" localSheetId="3" hidden="1">'Por corte'!$A$4:$G$90</definedName>
    <definedName name="_xlnm._FilterDatabase" localSheetId="4" hidden="1">'OM'!$A$1:$T$163</definedName>
    <definedName name="_xlnm._FilterDatabase" localSheetId="5" hidden="1">'Seguimientos'!$A$1:$L$1013</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0%"/>
  </numFmts>
  <fonts count="7">
    <font>
      <name val="Calibri"/>
      <family val="2"/>
      <color theme="1"/>
      <sz val="11"/>
      <scheme val="minor"/>
    </font>
    <font>
      <name val="Arial"/>
      <b val="1"/>
      <color rgb="00FFFFFF"/>
      <sz val="10"/>
    </font>
    <font>
      <name val="Arial"/>
      <sz val="10"/>
    </font>
    <font>
      <name val="Arial"/>
      <i val="1"/>
      <color rgb="00666666"/>
      <sz val="9"/>
    </font>
    <font>
      <name val="Arial"/>
      <b val="1"/>
      <color rgb="0000482B"/>
      <sz val="14"/>
    </font>
    <font>
      <name val="Arial"/>
      <b val="1"/>
      <sz val="10"/>
    </font>
    <font>
      <name val="Arial"/>
      <b val="1"/>
      <color rgb="0000482B"/>
      <sz val="11"/>
    </font>
  </fonts>
  <fills count="4">
    <fill>
      <patternFill/>
    </fill>
    <fill>
      <patternFill patternType="gray125"/>
    </fill>
    <fill>
      <patternFill patternType="solid">
        <fgColor rgb="00007B3E"/>
      </patternFill>
    </fill>
    <fill>
      <patternFill patternType="solid">
        <fgColor rgb="00E8F3EC"/>
      </patternFill>
    </fill>
  </fills>
  <borders count="2">
    <border>
      <left/>
      <right/>
      <top/>
      <bottom/>
      <diagonal/>
    </border>
    <border>
      <bottom style="thin">
        <color rgb="00D9D9D9"/>
      </bottom>
    </border>
  </borders>
  <cellStyleXfs count="1">
    <xf numFmtId="0" fontId="0" fillId="0" borderId="0"/>
  </cellStyleXfs>
  <cellXfs count="16">
    <xf numFmtId="0" fontId="0" fillId="0" borderId="0" pivotButton="0" quotePrefix="0" xfId="0"/>
    <xf numFmtId="0" fontId="4" fillId="0" borderId="0" pivotButton="0" quotePrefix="0" xfId="0"/>
    <xf numFmtId="0" fontId="3" fillId="0" borderId="0" pivotButton="0" quotePrefix="0" xfId="0"/>
    <xf numFmtId="0" fontId="6" fillId="0" borderId="0" pivotButton="0" quotePrefix="0" xfId="0"/>
    <xf numFmtId="0" fontId="5" fillId="0" borderId="0" applyAlignment="1" pivotButton="0" quotePrefix="0" xfId="0">
      <alignment vertical="top"/>
    </xf>
    <xf numFmtId="0" fontId="2"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xf>
    <xf numFmtId="165" fontId="2" fillId="0" borderId="1" applyAlignment="1" pivotButton="0" quotePrefix="0" xfId="0">
      <alignment vertical="top"/>
    </xf>
    <xf numFmtId="167" fontId="2" fillId="0" borderId="1" applyAlignment="1" pivotButton="0" quotePrefix="0" xfId="0">
      <alignment vertical="top"/>
    </xf>
    <xf numFmtId="0" fontId="5" fillId="3" borderId="1" applyAlignment="1" pivotButton="0" quotePrefix="0" xfId="0">
      <alignment vertical="top"/>
    </xf>
    <xf numFmtId="165" fontId="5" fillId="3" borderId="1" applyAlignment="1" pivotButton="0" quotePrefix="0" xfId="0">
      <alignment vertical="top"/>
    </xf>
    <xf numFmtId="167" fontId="5" fillId="3" borderId="1" applyAlignment="1" pivotButton="0" quotePrefix="0" xfId="0">
      <alignment vertical="top"/>
    </xf>
    <xf numFmtId="0" fontId="2" fillId="0" borderId="1" applyAlignment="1" pivotButton="0" quotePrefix="0" xfId="0">
      <alignment vertical="top" wrapText="1"/>
    </xf>
    <xf numFmtId="166" fontId="2" fillId="0" borderId="1" applyAlignment="1" pivotButton="0" quotePrefix="0" xfId="0">
      <alignment vertical="top"/>
    </xf>
    <xf numFmtId="9"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Consolidado</author>
  </authors>
  <commentList>
    <comment ref="O1" authorId="0" shapeId="0">
      <text>
        <t>Última calificación registrada (escala 0–2). Una OM nunca calificada cuenta como 0.</t>
      </text>
    </comment>
    <comment ref="P1" authorId="0" shapeId="0">
      <text>
        <t>Última calificación ÷ 2. Es el avance que usan los KPI y la tabla del consolidado.</t>
      </text>
    </comment>
    <comment ref="T1" authorId="0" shapeId="0">
      <text>
        <t>Sí si la fecha de entrega es anterior al último corte de su sistema y la OM no está cumplida. Si la entrega se registró como texto (p. ej. «Inmediato»), no se evalúa.</t>
      </text>
    </comment>
  </commentList>
</comments>
</file>

<file path=xl/comments/comment2.xml><?xml version="1.0" encoding="utf-8"?>
<comments xmlns="http://schemas.openxmlformats.org/spreadsheetml/2006/main">
  <authors>
    <author>Consolidado</author>
  </authors>
  <commentList>
    <comment ref="J1" authorId="0" shapeId="0">
      <text>
        <t>1 = esta calificación cuenta para el corte. Si un libro repite la fecha del corte en dos columnas, solo cuenta la última (la más reciente), igual que en la web.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1" t="inlineStr">
        <is>
          <t>Seguimiento a Oportunidades de Mejora (OM) de la Revisión por la Dirección — consolidado</t>
        </is>
      </c>
    </row>
    <row r="2">
      <c r="A2" s="2" t="inlineStr">
        <is>
          <t>Universidad de Cundinamarca · Sistemas Integrados de Gestión · generado el 14/10/2026 desde el dataset de la web (generado el 2026-10-14).</t>
        </is>
      </c>
    </row>
    <row r="4">
      <c r="A4" s="3" t="inlineStr">
        <is>
          <t>Hojas</t>
        </is>
      </c>
    </row>
    <row r="5">
      <c r="A5" s="4" t="inlineStr">
        <is>
          <t>Por sistema</t>
        </is>
      </c>
      <c r="B5" s="5" t="inlineStr">
        <is>
          <t>Estado vigente de cada sistema y total global (= «Todos los sistemas» en la web).</t>
        </is>
      </c>
    </row>
    <row r="6">
      <c r="A6" s="4" t="inlineStr">
        <is>
          <t>Por vigencia</t>
        </is>
      </c>
      <c r="B6" s="5" t="inlineStr">
        <is>
          <t>Estado vigente por sistema y vigencia (= gráfica «Avance promedio por vigencia»).</t>
        </is>
      </c>
    </row>
    <row r="7">
      <c r="A7" s="4" t="inlineStr">
        <is>
          <t>Por corte</t>
        </is>
      </c>
      <c r="B7" s="5" t="inlineStr">
        <is>
          <t>Evolución por seguimiento: solo las OM evaluadas en cada corte (= gráficas de evolución).</t>
        </is>
      </c>
    </row>
    <row r="8">
      <c r="A8" s="4" t="inlineStr">
        <is>
          <t>OM</t>
        </is>
      </c>
      <c r="B8" s="5" t="inlineStr">
        <is>
          <t>Una fila por oportunidad de mejora (162). Estado, avance, cumplida, atención y vencida con fórmulas.</t>
        </is>
      </c>
    </row>
    <row r="9">
      <c r="A9" s="4" t="inlineStr">
        <is>
          <t>Seguimientos</t>
        </is>
      </c>
      <c r="B9" s="5" t="inlineStr">
        <is>
          <t>Una fila por seguimiento (1012), con la observación completa (la web la recorta a 400 caracteres).</t>
        </is>
      </c>
    </row>
    <row r="10">
      <c r="A10" s="4" t="inlineStr">
        <is>
          <t>Escala</t>
        </is>
      </c>
      <c r="B10" s="5" t="inlineStr">
        <is>
          <t>Escala institucional 0 · 0,5 · 1 · 1,5 · 2 con su estado y avance.</t>
        </is>
      </c>
    </row>
    <row r="12">
      <c r="A12" s="3" t="inlineStr">
        <is>
          <t>Cómo se calcula cada cifra (igual que los íconos «!» de la web)</t>
        </is>
      </c>
    </row>
    <row r="13">
      <c r="A13" s="4" t="inlineStr">
        <is>
          <t>Avance de una OM</t>
        </is>
      </c>
      <c r="B13" s="5" t="inlineStr">
        <is>
          <t>Última calificación ÷ 2. Escala: 0 → 0 %, 0,5 → 25 %, 1 → 50 %, 1,5 → 75 %, 2 → 100 %. Una OM nunca calificada cuenta como 0 %.</t>
        </is>
      </c>
    </row>
    <row r="14">
      <c r="A14" s="4" t="inlineStr">
        <is>
          <t>Avance promedio vigente</t>
        </is>
      </c>
      <c r="B14" s="5" t="inlineStr">
        <is>
          <t>Promedio del avance de cada OM. Cada OM pesa lo mismo; por eso el total global no es el promedio de los cinco sistemas.</t>
        </is>
      </c>
    </row>
    <row r="15">
      <c r="A15" s="4" t="inlineStr">
        <is>
          <t>Tasa de cierre vigente</t>
        </is>
      </c>
      <c r="B15" s="5" t="inlineStr">
        <is>
          <t>OM cumplidas (última calificación = 2) ÷ total de OM. El avance parcial no suma.</t>
        </is>
      </c>
    </row>
    <row r="16">
      <c r="A16" s="4" t="inlineStr">
        <is>
          <t>Sin cerrar / Atención</t>
        </is>
      </c>
      <c r="B16" s="5" t="inlineStr">
        <is>
          <t>Sin cerrar = OM − cumplidas. Atención = las sin cerrar con última calificación 0.</t>
        </is>
      </c>
    </row>
    <row r="17">
      <c r="A17" s="4" t="inlineStr">
        <is>
          <t>Vencida</t>
        </is>
      </c>
      <c r="B17" s="5" t="inlineStr">
        <is>
          <t>Fecha de entrega anterior al último corte de seguimiento de su sistema y OM no cumplida. Una entrega registrada como texto («Inmediato») no se evalúa.</t>
        </is>
      </c>
    </row>
    <row r="18">
      <c r="A18" s="4" t="inlineStr">
        <is>
          <t>Evolución por corte</t>
        </is>
      </c>
      <c r="B18" s="5" t="inlineStr">
        <is>
          <t>En cada corte, promedio y tasa de cierre de solo las OM evaluadas ese día. Si un libro repite la fecha de un corte, cuenta la última columna.</t>
        </is>
      </c>
    </row>
    <row r="19">
      <c r="A19" s="4" t="inlineStr">
        <is>
          <t>Estado vigente vs. por corte</t>
        </is>
      </c>
      <c r="B19" s="5" t="inlineStr">
        <is>
          <t>«Vigente» describe cómo está hoy cada OM (todas). «Por corte» describe cómo salió un seguimiento (solo las evaluadas). Por eso pueden diferir: p. ej. SGSI 89,3 % vigente vs. 87,5 % en el corte del 30-sep-2026 (4 OM).</t>
        </is>
      </c>
    </row>
    <row r="21">
      <c r="A21" s="3" t="inlineStr">
        <is>
          <t>Notas sobre los datos</t>
        </is>
      </c>
    </row>
    <row r="22">
      <c r="A22" s="4" t="inlineStr">
        <is>
          <t>Fuente</t>
        </is>
      </c>
      <c r="B22" s="5" t="inlineStr">
        <is>
          <t>Libros de data/ (uno por sistema) más la actualización data/13-10-2026/SISTEMAS INTEGRADOS DE GESTION.xlsx, que aporta el corte del 30-sep-2026.</t>
        </is>
      </c>
    </row>
    <row r="23">
      <c r="A23" s="4" t="inlineStr">
        <is>
          <t>SGSI 2025</t>
        </is>
      </c>
      <c r="B23" s="5" t="inlineStr">
        <is>
          <t>Se descartaron dos cortes rotulados «30 DE DICIEMBRE 2026» (fecha futura, fuera de orden). Indicación del 13-10-2026.</t>
        </is>
      </c>
    </row>
    <row r="24">
      <c r="A24" s="4" t="inlineStr">
        <is>
          <t>SG-SST 2025</t>
        </is>
      </c>
      <c r="B24" s="5" t="inlineStr">
        <is>
          <t>La última columna de la hoja SST del libro 13-10-2026 decía «30 ABRIL 2026» y es el corte del 30-sep-2026. Reemplaza la segunda columna «30 ABRIL 2026» del libro de junio; por eso la PM 7 (ausente en el libro nuevo) queda en 0.</t>
        </is>
      </c>
    </row>
    <row r="25">
      <c r="A25" s="4" t="inlineStr">
        <is>
          <t>SGC 2025 en el Excel original</t>
        </is>
      </c>
      <c r="B25" s="5" t="inlineStr">
        <is>
          <t>La fila de promedios de la hoja «SGC 2025» usa SUM(G2:G12)/COUNT(G2:G12) y deja fuera las PM 12 y 13. Este consolidado y la web promedian las 13 OM.</t>
        </is>
      </c>
    </row>
    <row r="26">
      <c r="A26" s="4" t="inlineStr">
        <is>
          <t>Fechas de entrega</t>
        </is>
      </c>
      <c r="B26" s="5" t="inlineStr">
        <is>
          <t>Las escritas como texto («Inmediato», «IPA 2025») quedan sin fecha y no se evalúan para vencimiento. «31/06/2026» (SGC 2025, PM 3) no es una fecha válida: queda sin fecha.</t>
        </is>
      </c>
    </row>
    <row r="27">
      <c r="A27" s="4" t="inlineStr">
        <is>
          <t>Recalcular</t>
        </is>
      </c>
      <c r="B27" s="5" t="inlineStr">
        <is>
          <t>Todas las cifras de Por sistema, Por vigencia, Por corte y las columnas calculadas de OM y Seguimientos son fórmulas: si se corrige una calificación en Seguimientos, todo se recalcula.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9" customWidth="1" min="1" max="1"/>
    <col width="34" customWidth="1" min="2" max="2"/>
    <col width="18" customWidth="1" min="3" max="3"/>
    <col width="13" customWidth="1" min="4" max="4"/>
    <col width="8" customWidth="1" min="5" max="5"/>
    <col width="11" customWidth="1" min="6" max="6"/>
    <col width="11" customWidth="1" min="7" max="7"/>
    <col width="10" customWidth="1" min="8" max="8"/>
    <col width="14" customWidth="1" min="9" max="9"/>
    <col width="13" customWidth="1" min="10" max="10"/>
    <col width="10" customWidth="1" min="11" max="11"/>
  </cols>
  <sheetData>
    <row r="1">
      <c r="A1" s="1" t="inlineStr">
        <is>
          <t>Estado vigente de cada sistema</t>
        </is>
      </c>
    </row>
    <row r="2">
      <c r="A2" s="2" t="inlineStr">
        <is>
          <t>Última calificación de cada OM. Mismas cifras que la tabla y los KPI de «Todos los sistemas» en la web.</t>
        </is>
      </c>
    </row>
    <row r="4" ht="30" customHeight="1">
      <c r="A4" s="6" t="inlineStr">
        <is>
          <t>Sigla</t>
        </is>
      </c>
      <c r="B4" s="6" t="inlineStr">
        <is>
          <t>Sistema de gestión</t>
        </is>
      </c>
      <c r="C4" s="6" t="inlineStr">
        <is>
          <t>Vigencias</t>
        </is>
      </c>
      <c r="D4" s="6" t="inlineStr">
        <is>
          <t>Último corte</t>
        </is>
      </c>
      <c r="E4" s="6" t="inlineStr">
        <is>
          <t>OM</t>
        </is>
      </c>
      <c r="F4" s="6" t="inlineStr">
        <is>
          <t>Cumplidas</t>
        </is>
      </c>
      <c r="G4" s="6" t="inlineStr">
        <is>
          <t>Sin cerrar</t>
        </is>
      </c>
      <c r="H4" s="6" t="inlineStr">
        <is>
          <t>Atención</t>
        </is>
      </c>
      <c r="I4" s="6" t="inlineStr">
        <is>
          <t>Avance promedio vigente</t>
        </is>
      </c>
      <c r="J4" s="6" t="inlineStr">
        <is>
          <t>Tasa de cierre vigente</t>
        </is>
      </c>
      <c r="K4" s="6" t="inlineStr">
        <is>
          <t>Vencidas</t>
        </is>
      </c>
    </row>
    <row r="5">
      <c r="A5" s="7" t="inlineStr">
        <is>
          <t>SGC</t>
        </is>
      </c>
      <c r="B5" s="7" t="inlineStr">
        <is>
          <t>Sistema de Gestión de Calidad</t>
        </is>
      </c>
      <c r="C5" s="7" t="inlineStr">
        <is>
          <t>2022–2025</t>
        </is>
      </c>
      <c r="D5" s="8">
        <f>SUMPRODUCT(MAX((Seguimientos!$C$2:$C$1013=A5)*Seguimientos!$F$2:$F$1013))</f>
        <v/>
      </c>
      <c r="E5" s="7">
        <f>COUNTIF(OM!$B$2:$B$163,A5)</f>
        <v/>
      </c>
      <c r="F5" s="7">
        <f>COUNTIFS(OM!$B$2:$B$163,A5,OM!$R$2:$R$163,"Sí")</f>
        <v/>
      </c>
      <c r="G5" s="7">
        <f>E5-F5</f>
        <v/>
      </c>
      <c r="H5" s="7">
        <f>COUNTIFS(OM!$B$2:$B$163,A5,OM!$S$2:$S$163,"Sí")</f>
        <v/>
      </c>
      <c r="I5" s="9">
        <f>AVERAGEIF(OM!$B$2:$B$163,A5,OM!$P$2:$P$163)</f>
        <v/>
      </c>
      <c r="J5" s="9">
        <f>IF(E5=0,"",F5/E5)</f>
        <v/>
      </c>
      <c r="K5" s="7">
        <f>COUNTIFS(OM!$B$2:$B$163,A5,OM!$T$2:$T$163,"Sí")</f>
        <v/>
      </c>
    </row>
    <row r="6">
      <c r="A6" s="7" t="inlineStr">
        <is>
          <t>SGA</t>
        </is>
      </c>
      <c r="B6" s="7" t="inlineStr">
        <is>
          <t>Sistema de Gestión Ambiental</t>
        </is>
      </c>
      <c r="C6" s="7" t="inlineStr">
        <is>
          <t>2022–2025</t>
        </is>
      </c>
      <c r="D6" s="8">
        <f>SUMPRODUCT(MAX((Seguimientos!$C$2:$C$1013=A6)*Seguimientos!$F$2:$F$1013))</f>
        <v/>
      </c>
      <c r="E6" s="7">
        <f>COUNTIF(OM!$B$2:$B$163,A6)</f>
        <v/>
      </c>
      <c r="F6" s="7">
        <f>COUNTIFS(OM!$B$2:$B$163,A6,OM!$R$2:$R$163,"Sí")</f>
        <v/>
      </c>
      <c r="G6" s="7">
        <f>E6-F6</f>
        <v/>
      </c>
      <c r="H6" s="7">
        <f>COUNTIFS(OM!$B$2:$B$163,A6,OM!$S$2:$S$163,"Sí")</f>
        <v/>
      </c>
      <c r="I6" s="9">
        <f>AVERAGEIF(OM!$B$2:$B$163,A6,OM!$P$2:$P$163)</f>
        <v/>
      </c>
      <c r="J6" s="9">
        <f>IF(E6=0,"",F6/E6)</f>
        <v/>
      </c>
      <c r="K6" s="7">
        <f>COUNTIFS(OM!$B$2:$B$163,A6,OM!$T$2:$T$163,"Sí")</f>
        <v/>
      </c>
    </row>
    <row r="7">
      <c r="A7" s="7" t="inlineStr">
        <is>
          <t>SG-SST</t>
        </is>
      </c>
      <c r="B7" s="7" t="inlineStr">
        <is>
          <t>Seguridad y Salud en el Trabajo</t>
        </is>
      </c>
      <c r="C7" s="7" t="inlineStr">
        <is>
          <t>2023–2025</t>
        </is>
      </c>
      <c r="D7" s="8">
        <f>SUMPRODUCT(MAX((Seguimientos!$C$2:$C$1013=A7)*Seguimientos!$F$2:$F$1013))</f>
        <v/>
      </c>
      <c r="E7" s="7">
        <f>COUNTIF(OM!$B$2:$B$163,A7)</f>
        <v/>
      </c>
      <c r="F7" s="7">
        <f>COUNTIFS(OM!$B$2:$B$163,A7,OM!$R$2:$R$163,"Sí")</f>
        <v/>
      </c>
      <c r="G7" s="7">
        <f>E7-F7</f>
        <v/>
      </c>
      <c r="H7" s="7">
        <f>COUNTIFS(OM!$B$2:$B$163,A7,OM!$S$2:$S$163,"Sí")</f>
        <v/>
      </c>
      <c r="I7" s="9">
        <f>AVERAGEIF(OM!$B$2:$B$163,A7,OM!$P$2:$P$163)</f>
        <v/>
      </c>
      <c r="J7" s="9">
        <f>IF(E7=0,"",F7/E7)</f>
        <v/>
      </c>
      <c r="K7" s="7">
        <f>COUNTIFS(OM!$B$2:$B$163,A7,OM!$T$2:$T$163,"Sí")</f>
        <v/>
      </c>
    </row>
    <row r="8">
      <c r="A8" s="7" t="inlineStr">
        <is>
          <t>SGSI</t>
        </is>
      </c>
      <c r="B8" s="7" t="inlineStr">
        <is>
          <t>Seguridad de la Información</t>
        </is>
      </c>
      <c r="C8" s="7" t="inlineStr">
        <is>
          <t>2023–2025</t>
        </is>
      </c>
      <c r="D8" s="8">
        <f>SUMPRODUCT(MAX((Seguimientos!$C$2:$C$1013=A8)*Seguimientos!$F$2:$F$1013))</f>
        <v/>
      </c>
      <c r="E8" s="7">
        <f>COUNTIF(OM!$B$2:$B$163,A8)</f>
        <v/>
      </c>
      <c r="F8" s="7">
        <f>COUNTIFS(OM!$B$2:$B$163,A8,OM!$R$2:$R$163,"Sí")</f>
        <v/>
      </c>
      <c r="G8" s="7">
        <f>E8-F8</f>
        <v/>
      </c>
      <c r="H8" s="7">
        <f>COUNTIFS(OM!$B$2:$B$163,A8,OM!$S$2:$S$163,"Sí")</f>
        <v/>
      </c>
      <c r="I8" s="9">
        <f>AVERAGEIF(OM!$B$2:$B$163,A8,OM!$P$2:$P$163)</f>
        <v/>
      </c>
      <c r="J8" s="9">
        <f>IF(E8=0,"",F8/E8)</f>
        <v/>
      </c>
      <c r="K8" s="7">
        <f>COUNTIFS(OM!$B$2:$B$163,A8,OM!$T$2:$T$163,"Sí")</f>
        <v/>
      </c>
    </row>
    <row r="9">
      <c r="A9" s="7" t="inlineStr">
        <is>
          <t>SGAS</t>
        </is>
      </c>
      <c r="B9" s="7" t="inlineStr">
        <is>
          <t>Sistema de Gestión Antisoborno</t>
        </is>
      </c>
      <c r="C9" s="7" t="inlineStr">
        <is>
          <t>2024–2025</t>
        </is>
      </c>
      <c r="D9" s="8">
        <f>SUMPRODUCT(MAX((Seguimientos!$C$2:$C$1013=A9)*Seguimientos!$F$2:$F$1013))</f>
        <v/>
      </c>
      <c r="E9" s="7">
        <f>COUNTIF(OM!$B$2:$B$163,A9)</f>
        <v/>
      </c>
      <c r="F9" s="7">
        <f>COUNTIFS(OM!$B$2:$B$163,A9,OM!$R$2:$R$163,"Sí")</f>
        <v/>
      </c>
      <c r="G9" s="7">
        <f>E9-F9</f>
        <v/>
      </c>
      <c r="H9" s="7">
        <f>COUNTIFS(OM!$B$2:$B$163,A9,OM!$S$2:$S$163,"Sí")</f>
        <v/>
      </c>
      <c r="I9" s="9">
        <f>AVERAGEIF(OM!$B$2:$B$163,A9,OM!$P$2:$P$163)</f>
        <v/>
      </c>
      <c r="J9" s="9">
        <f>IF(E9=0,"",F9/E9)</f>
        <v/>
      </c>
      <c r="K9" s="7">
        <f>COUNTIFS(OM!$B$2:$B$163,A9,OM!$T$2:$T$163,"Sí")</f>
        <v/>
      </c>
    </row>
    <row r="10">
      <c r="A10" s="10" t="inlineStr">
        <is>
          <t>Total</t>
        </is>
      </c>
      <c r="B10" s="10" t="inlineStr">
        <is>
          <t>Todos los sistemas</t>
        </is>
      </c>
      <c r="C10" s="10" t="n"/>
      <c r="D10" s="11">
        <f>MAX(D5:D9)</f>
        <v/>
      </c>
      <c r="E10" s="10">
        <f>SUM(E5:E9)</f>
        <v/>
      </c>
      <c r="F10" s="10">
        <f>SUM(F5:F9)</f>
        <v/>
      </c>
      <c r="G10" s="10">
        <f>SUM(G5:G9)</f>
        <v/>
      </c>
      <c r="H10" s="10">
        <f>SUM(H5:H9)</f>
        <v/>
      </c>
      <c r="I10" s="12">
        <f>AVERAGE(OM!$P$2:$P$163)</f>
        <v/>
      </c>
      <c r="J10" s="12">
        <f>IF(E10=0,"",F10/E10)</f>
        <v/>
      </c>
      <c r="K10" s="10">
        <f>SUM(K5:K9)</f>
        <v/>
      </c>
    </row>
    <row r="12">
      <c r="A12" s="2" t="inlineStr">
        <is>
          <t>Avance promedio vigente: promedio de (última calificación ÷ 2) de cada OM; una nunca calificada cuenta como 0 %.</t>
        </is>
      </c>
    </row>
    <row r="13">
      <c r="A13" s="2" t="inlineStr">
        <is>
          <t>Total: promedia todas las OM juntas (cada OM pesa lo mismo), igual que el KPI «Avance promedio global vigente».</t>
        </is>
      </c>
    </row>
    <row r="14">
      <c r="A14" s="2" t="inlineStr">
        <is>
          <t>Tasa de cierre vigente: OM cumplidas (última calificación = 2) ÷ total de OM.</t>
        </is>
      </c>
    </row>
    <row r="15">
      <c r="A15" s="2" t="inlineStr">
        <is>
          <t>Atención: OM sin cerrar con última calificación 0. Sin cerrar = OM − cumplidas.</t>
        </is>
      </c>
    </row>
    <row r="16">
      <c r="A16" s="2" t="inlineStr">
        <is>
          <t>Vencidas: fecha de entrega anterior al último corte del sistema y OM no cumplida.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8" customWidth="1" min="3" max="3"/>
    <col width="11" customWidth="1" min="4" max="4"/>
    <col width="11" customWidth="1" min="5" max="5"/>
    <col width="14" customWidth="1" min="6" max="6"/>
    <col width="13" customWidth="1" min="7" max="7"/>
  </cols>
  <sheetData>
    <row r="1">
      <c r="A1" s="1" t="inlineStr">
        <is>
          <t>Estado vigente por sistema y vigencia</t>
        </is>
      </c>
    </row>
    <row r="2">
      <c r="A2" s="2" t="inlineStr">
        <is>
          <t>Mismas cifras que la gráfica «Avance promedio por vigencia de la RXD» de cada tablero.</t>
        </is>
      </c>
    </row>
    <row r="4" ht="30" customHeight="1">
      <c r="A4" s="6" t="inlineStr">
        <is>
          <t>Sistema</t>
        </is>
      </c>
      <c r="B4" s="6" t="inlineStr">
        <is>
          <t>Vigencia</t>
        </is>
      </c>
      <c r="C4" s="6" t="inlineStr">
        <is>
          <t>OM</t>
        </is>
      </c>
      <c r="D4" s="6" t="inlineStr">
        <is>
          <t>Cumplidas</t>
        </is>
      </c>
      <c r="E4" s="6" t="inlineStr">
        <is>
          <t>Sin cerrar</t>
        </is>
      </c>
      <c r="F4" s="6" t="inlineStr">
        <is>
          <t>Avance promedio vigente</t>
        </is>
      </c>
      <c r="G4" s="6" t="inlineStr">
        <is>
          <t>Tasa de cierre vigente</t>
        </is>
      </c>
    </row>
    <row r="5">
      <c r="A5" s="7" t="inlineStr">
        <is>
          <t>SGC</t>
        </is>
      </c>
      <c r="B5" s="7" t="inlineStr">
        <is>
          <t>2022</t>
        </is>
      </c>
      <c r="C5" s="7">
        <f>COUNTIFS(OM!$B$2:$B$163,A5,OM!$D$2:$D$163,B5)</f>
        <v/>
      </c>
      <c r="D5" s="7">
        <f>COUNTIFS(OM!$B$2:$B$163,A5,OM!$D$2:$D$163,B5,OM!$R$2:$R$163,"Sí")</f>
        <v/>
      </c>
      <c r="E5" s="7">
        <f>C5-D5</f>
        <v/>
      </c>
      <c r="F5" s="9">
        <f>AVERAGEIFS(OM!$P$2:$P$163,OM!$B$2:$B$163,A5,OM!$D$2:$D$163,B5)</f>
        <v/>
      </c>
      <c r="G5" s="9">
        <f>IF(C5=0,"",D5/C5)</f>
        <v/>
      </c>
    </row>
    <row r="6">
      <c r="A6" s="7" t="inlineStr">
        <is>
          <t>SGC</t>
        </is>
      </c>
      <c r="B6" s="7" t="inlineStr">
        <is>
          <t>2023</t>
        </is>
      </c>
      <c r="C6" s="7">
        <f>COUNTIFS(OM!$B$2:$B$163,A6,OM!$D$2:$D$163,B6)</f>
        <v/>
      </c>
      <c r="D6" s="7">
        <f>COUNTIFS(OM!$B$2:$B$163,A6,OM!$D$2:$D$163,B6,OM!$R$2:$R$163,"Sí")</f>
        <v/>
      </c>
      <c r="E6" s="7">
        <f>C6-D6</f>
        <v/>
      </c>
      <c r="F6" s="9">
        <f>AVERAGEIFS(OM!$P$2:$P$163,OM!$B$2:$B$163,A6,OM!$D$2:$D$163,B6)</f>
        <v/>
      </c>
      <c r="G6" s="9">
        <f>IF(C6=0,"",D6/C6)</f>
        <v/>
      </c>
    </row>
    <row r="7">
      <c r="A7" s="7" t="inlineStr">
        <is>
          <t>SGC</t>
        </is>
      </c>
      <c r="B7" s="7" t="inlineStr">
        <is>
          <t>2024</t>
        </is>
      </c>
      <c r="C7" s="7">
        <f>COUNTIFS(OM!$B$2:$B$163,A7,OM!$D$2:$D$163,B7)</f>
        <v/>
      </c>
      <c r="D7" s="7">
        <f>COUNTIFS(OM!$B$2:$B$163,A7,OM!$D$2:$D$163,B7,OM!$R$2:$R$163,"Sí")</f>
        <v/>
      </c>
      <c r="E7" s="7">
        <f>C7-D7</f>
        <v/>
      </c>
      <c r="F7" s="9">
        <f>AVERAGEIFS(OM!$P$2:$P$163,OM!$B$2:$B$163,A7,OM!$D$2:$D$163,B7)</f>
        <v/>
      </c>
      <c r="G7" s="9">
        <f>IF(C7=0,"",D7/C7)</f>
        <v/>
      </c>
    </row>
    <row r="8">
      <c r="A8" s="7" t="inlineStr">
        <is>
          <t>SGC</t>
        </is>
      </c>
      <c r="B8" s="7" t="inlineStr">
        <is>
          <t>2025</t>
        </is>
      </c>
      <c r="C8" s="7">
        <f>COUNTIFS(OM!$B$2:$B$163,A8,OM!$D$2:$D$163,B8)</f>
        <v/>
      </c>
      <c r="D8" s="7">
        <f>COUNTIFS(OM!$B$2:$B$163,A8,OM!$D$2:$D$163,B8,OM!$R$2:$R$163,"Sí")</f>
        <v/>
      </c>
      <c r="E8" s="7">
        <f>C8-D8</f>
        <v/>
      </c>
      <c r="F8" s="9">
        <f>AVERAGEIFS(OM!$P$2:$P$163,OM!$B$2:$B$163,A8,OM!$D$2:$D$163,B8)</f>
        <v/>
      </c>
      <c r="G8" s="9">
        <f>IF(C8=0,"",D8/C8)</f>
        <v/>
      </c>
    </row>
    <row r="9">
      <c r="A9" s="7" t="inlineStr">
        <is>
          <t>SGA</t>
        </is>
      </c>
      <c r="B9" s="7" t="inlineStr">
        <is>
          <t>2022</t>
        </is>
      </c>
      <c r="C9" s="7">
        <f>COUNTIFS(OM!$B$2:$B$163,A9,OM!$D$2:$D$163,B9)</f>
        <v/>
      </c>
      <c r="D9" s="7">
        <f>COUNTIFS(OM!$B$2:$B$163,A9,OM!$D$2:$D$163,B9,OM!$R$2:$R$163,"Sí")</f>
        <v/>
      </c>
      <c r="E9" s="7">
        <f>C9-D9</f>
        <v/>
      </c>
      <c r="F9" s="9">
        <f>AVERAGEIFS(OM!$P$2:$P$163,OM!$B$2:$B$163,A9,OM!$D$2:$D$163,B9)</f>
        <v/>
      </c>
      <c r="G9" s="9">
        <f>IF(C9=0,"",D9/C9)</f>
        <v/>
      </c>
    </row>
    <row r="10">
      <c r="A10" s="7" t="inlineStr">
        <is>
          <t>SGA</t>
        </is>
      </c>
      <c r="B10" s="7" t="inlineStr">
        <is>
          <t>2023</t>
        </is>
      </c>
      <c r="C10" s="7">
        <f>COUNTIFS(OM!$B$2:$B$163,A10,OM!$D$2:$D$163,B10)</f>
        <v/>
      </c>
      <c r="D10" s="7">
        <f>COUNTIFS(OM!$B$2:$B$163,A10,OM!$D$2:$D$163,B10,OM!$R$2:$R$163,"Sí")</f>
        <v/>
      </c>
      <c r="E10" s="7">
        <f>C10-D10</f>
        <v/>
      </c>
      <c r="F10" s="9">
        <f>AVERAGEIFS(OM!$P$2:$P$163,OM!$B$2:$B$163,A10,OM!$D$2:$D$163,B10)</f>
        <v/>
      </c>
      <c r="G10" s="9">
        <f>IF(C10=0,"",D10/C10)</f>
        <v/>
      </c>
    </row>
    <row r="11">
      <c r="A11" s="7" t="inlineStr">
        <is>
          <t>SGA</t>
        </is>
      </c>
      <c r="B11" s="7" t="inlineStr">
        <is>
          <t>2024</t>
        </is>
      </c>
      <c r="C11" s="7">
        <f>COUNTIFS(OM!$B$2:$B$163,A11,OM!$D$2:$D$163,B11)</f>
        <v/>
      </c>
      <c r="D11" s="7">
        <f>COUNTIFS(OM!$B$2:$B$163,A11,OM!$D$2:$D$163,B11,OM!$R$2:$R$163,"Sí")</f>
        <v/>
      </c>
      <c r="E11" s="7">
        <f>C11-D11</f>
        <v/>
      </c>
      <c r="F11" s="9">
        <f>AVERAGEIFS(OM!$P$2:$P$163,OM!$B$2:$B$163,A11,OM!$D$2:$D$163,B11)</f>
        <v/>
      </c>
      <c r="G11" s="9">
        <f>IF(C11=0,"",D11/C11)</f>
        <v/>
      </c>
    </row>
    <row r="12">
      <c r="A12" s="7" t="inlineStr">
        <is>
          <t>SGA</t>
        </is>
      </c>
      <c r="B12" s="7" t="inlineStr">
        <is>
          <t>2025</t>
        </is>
      </c>
      <c r="C12" s="7">
        <f>COUNTIFS(OM!$B$2:$B$163,A12,OM!$D$2:$D$163,B12)</f>
        <v/>
      </c>
      <c r="D12" s="7">
        <f>COUNTIFS(OM!$B$2:$B$163,A12,OM!$D$2:$D$163,B12,OM!$R$2:$R$163,"Sí")</f>
        <v/>
      </c>
      <c r="E12" s="7">
        <f>C12-D12</f>
        <v/>
      </c>
      <c r="F12" s="9">
        <f>AVERAGEIFS(OM!$P$2:$P$163,OM!$B$2:$B$163,A12,OM!$D$2:$D$163,B12)</f>
        <v/>
      </c>
      <c r="G12" s="9">
        <f>IF(C12=0,"",D12/C12)</f>
        <v/>
      </c>
    </row>
    <row r="13">
      <c r="A13" s="7" t="inlineStr">
        <is>
          <t>SG-SST</t>
        </is>
      </c>
      <c r="B13" s="7" t="inlineStr">
        <is>
          <t>2023</t>
        </is>
      </c>
      <c r="C13" s="7">
        <f>COUNTIFS(OM!$B$2:$B$163,A13,OM!$D$2:$D$163,B13)</f>
        <v/>
      </c>
      <c r="D13" s="7">
        <f>COUNTIFS(OM!$B$2:$B$163,A13,OM!$D$2:$D$163,B13,OM!$R$2:$R$163,"Sí")</f>
        <v/>
      </c>
      <c r="E13" s="7">
        <f>C13-D13</f>
        <v/>
      </c>
      <c r="F13" s="9">
        <f>AVERAGEIFS(OM!$P$2:$P$163,OM!$B$2:$B$163,A13,OM!$D$2:$D$163,B13)</f>
        <v/>
      </c>
      <c r="G13" s="9">
        <f>IF(C13=0,"",D13/C13)</f>
        <v/>
      </c>
    </row>
    <row r="14">
      <c r="A14" s="7" t="inlineStr">
        <is>
          <t>SG-SST</t>
        </is>
      </c>
      <c r="B14" s="7" t="inlineStr">
        <is>
          <t>2024</t>
        </is>
      </c>
      <c r="C14" s="7">
        <f>COUNTIFS(OM!$B$2:$B$163,A14,OM!$D$2:$D$163,B14)</f>
        <v/>
      </c>
      <c r="D14" s="7">
        <f>COUNTIFS(OM!$B$2:$B$163,A14,OM!$D$2:$D$163,B14,OM!$R$2:$R$163,"Sí")</f>
        <v/>
      </c>
      <c r="E14" s="7">
        <f>C14-D14</f>
        <v/>
      </c>
      <c r="F14" s="9">
        <f>AVERAGEIFS(OM!$P$2:$P$163,OM!$B$2:$B$163,A14,OM!$D$2:$D$163,B14)</f>
        <v/>
      </c>
      <c r="G14" s="9">
        <f>IF(C14=0,"",D14/C14)</f>
        <v/>
      </c>
    </row>
    <row r="15">
      <c r="A15" s="7" t="inlineStr">
        <is>
          <t>SG-SST</t>
        </is>
      </c>
      <c r="B15" s="7" t="inlineStr">
        <is>
          <t>2025</t>
        </is>
      </c>
      <c r="C15" s="7">
        <f>COUNTIFS(OM!$B$2:$B$163,A15,OM!$D$2:$D$163,B15)</f>
        <v/>
      </c>
      <c r="D15" s="7">
        <f>COUNTIFS(OM!$B$2:$B$163,A15,OM!$D$2:$D$163,B15,OM!$R$2:$R$163,"Sí")</f>
        <v/>
      </c>
      <c r="E15" s="7">
        <f>C15-D15</f>
        <v/>
      </c>
      <c r="F15" s="9">
        <f>AVERAGEIFS(OM!$P$2:$P$163,OM!$B$2:$B$163,A15,OM!$D$2:$D$163,B15)</f>
        <v/>
      </c>
      <c r="G15" s="9">
        <f>IF(C15=0,"",D15/C15)</f>
        <v/>
      </c>
    </row>
    <row r="16">
      <c r="A16" s="7" t="inlineStr">
        <is>
          <t>SGSI</t>
        </is>
      </c>
      <c r="B16" s="7" t="inlineStr">
        <is>
          <t>2023</t>
        </is>
      </c>
      <c r="C16" s="7">
        <f>COUNTIFS(OM!$B$2:$B$163,A16,OM!$D$2:$D$163,B16)</f>
        <v/>
      </c>
      <c r="D16" s="7">
        <f>COUNTIFS(OM!$B$2:$B$163,A16,OM!$D$2:$D$163,B16,OM!$R$2:$R$163,"Sí")</f>
        <v/>
      </c>
      <c r="E16" s="7">
        <f>C16-D16</f>
        <v/>
      </c>
      <c r="F16" s="9">
        <f>AVERAGEIFS(OM!$P$2:$P$163,OM!$B$2:$B$163,A16,OM!$D$2:$D$163,B16)</f>
        <v/>
      </c>
      <c r="G16" s="9">
        <f>IF(C16=0,"",D16/C16)</f>
        <v/>
      </c>
    </row>
    <row r="17">
      <c r="A17" s="7" t="inlineStr">
        <is>
          <t>SGSI</t>
        </is>
      </c>
      <c r="B17" s="7" t="inlineStr">
        <is>
          <t>2024</t>
        </is>
      </c>
      <c r="C17" s="7">
        <f>COUNTIFS(OM!$B$2:$B$163,A17,OM!$D$2:$D$163,B17)</f>
        <v/>
      </c>
      <c r="D17" s="7">
        <f>COUNTIFS(OM!$B$2:$B$163,A17,OM!$D$2:$D$163,B17,OM!$R$2:$R$163,"Sí")</f>
        <v/>
      </c>
      <c r="E17" s="7">
        <f>C17-D17</f>
        <v/>
      </c>
      <c r="F17" s="9">
        <f>AVERAGEIFS(OM!$P$2:$P$163,OM!$B$2:$B$163,A17,OM!$D$2:$D$163,B17)</f>
        <v/>
      </c>
      <c r="G17" s="9">
        <f>IF(C17=0,"",D17/C17)</f>
        <v/>
      </c>
    </row>
    <row r="18">
      <c r="A18" s="7" t="inlineStr">
        <is>
          <t>SGSI</t>
        </is>
      </c>
      <c r="B18" s="7" t="inlineStr">
        <is>
          <t>2025</t>
        </is>
      </c>
      <c r="C18" s="7">
        <f>COUNTIFS(OM!$B$2:$B$163,A18,OM!$D$2:$D$163,B18)</f>
        <v/>
      </c>
      <c r="D18" s="7">
        <f>COUNTIFS(OM!$B$2:$B$163,A18,OM!$D$2:$D$163,B18,OM!$R$2:$R$163,"Sí")</f>
        <v/>
      </c>
      <c r="E18" s="7">
        <f>C18-D18</f>
        <v/>
      </c>
      <c r="F18" s="9">
        <f>AVERAGEIFS(OM!$P$2:$P$163,OM!$B$2:$B$163,A18,OM!$D$2:$D$163,B18)</f>
        <v/>
      </c>
      <c r="G18" s="9">
        <f>IF(C18=0,"",D18/C18)</f>
        <v/>
      </c>
    </row>
    <row r="19">
      <c r="A19" s="7" t="inlineStr">
        <is>
          <t>SGAS</t>
        </is>
      </c>
      <c r="B19" s="7" t="inlineStr">
        <is>
          <t>2024</t>
        </is>
      </c>
      <c r="C19" s="7">
        <f>COUNTIFS(OM!$B$2:$B$163,A19,OM!$D$2:$D$163,B19)</f>
        <v/>
      </c>
      <c r="D19" s="7">
        <f>COUNTIFS(OM!$B$2:$B$163,A19,OM!$D$2:$D$163,B19,OM!$R$2:$R$163,"Sí")</f>
        <v/>
      </c>
      <c r="E19" s="7">
        <f>C19-D19</f>
        <v/>
      </c>
      <c r="F19" s="9">
        <f>AVERAGEIFS(OM!$P$2:$P$163,OM!$B$2:$B$163,A19,OM!$D$2:$D$163,B19)</f>
        <v/>
      </c>
      <c r="G19" s="9">
        <f>IF(C19=0,"",D19/C19)</f>
        <v/>
      </c>
    </row>
    <row r="20">
      <c r="A20" s="7" t="inlineStr">
        <is>
          <t>SGAS</t>
        </is>
      </c>
      <c r="B20" s="7" t="inlineStr">
        <is>
          <t>2025</t>
        </is>
      </c>
      <c r="C20" s="7">
        <f>COUNTIFS(OM!$B$2:$B$163,A20,OM!$D$2:$D$163,B20)</f>
        <v/>
      </c>
      <c r="D20" s="7">
        <f>COUNTIFS(OM!$B$2:$B$163,A20,OM!$D$2:$D$163,B20,OM!$R$2:$R$163,"Sí")</f>
        <v/>
      </c>
      <c r="E20" s="7">
        <f>C20-D20</f>
        <v/>
      </c>
      <c r="F20" s="9">
        <f>AVERAGEIFS(OM!$P$2:$P$163,OM!$B$2:$B$163,A20,OM!$D$2:$D$163,B20)</f>
        <v/>
      </c>
      <c r="G20" s="9">
        <f>IF(C20=0,"",D20/C20)</f>
        <v/>
      </c>
    </row>
  </sheetData>
  <autoFilter ref="A4:G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0"/>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4" customWidth="1" min="3" max="3"/>
    <col width="12" customWidth="1" min="4" max="4"/>
    <col width="11" customWidth="1" min="5" max="5"/>
    <col width="14" customWidth="1" min="6" max="6"/>
    <col width="13" customWidth="1" min="7" max="7"/>
  </cols>
  <sheetData>
    <row r="1">
      <c r="A1" s="1" t="inlineStr">
        <is>
          <t>Evolución por seguimiento</t>
        </is>
      </c>
    </row>
    <row r="2">
      <c r="A2" s="2" t="inlineStr">
        <is>
          <t>En cada corte cuentan solo las OM evaluadas ese día. Mismas cifras que las gráficas de evolución (una línea por vigencia) y que la fila de promedios de cada hoja del libro de seguimiento.</t>
        </is>
      </c>
    </row>
    <row r="4" ht="30" customHeight="1">
      <c r="A4" s="6" t="inlineStr">
        <is>
          <t>Sistema</t>
        </is>
      </c>
      <c r="B4" s="6" t="inlineStr">
        <is>
          <t>Vigencia</t>
        </is>
      </c>
      <c r="C4" s="6" t="inlineStr">
        <is>
          <t>Fecha de corte</t>
        </is>
      </c>
      <c r="D4" s="6" t="inlineStr">
        <is>
          <t>OM evaluadas</t>
        </is>
      </c>
      <c r="E4" s="6" t="inlineStr">
        <is>
          <t>Cumplidas</t>
        </is>
      </c>
      <c r="F4" s="6" t="inlineStr">
        <is>
          <t>Avance promedio</t>
        </is>
      </c>
      <c r="G4" s="6" t="inlineStr">
        <is>
          <t>Tasa de cierre</t>
        </is>
      </c>
    </row>
    <row r="5">
      <c r="A5" s="7" t="inlineStr">
        <is>
          <t>SGC</t>
        </is>
      </c>
      <c r="B5" s="7" t="inlineStr">
        <is>
          <t>2022</t>
        </is>
      </c>
      <c r="C5" s="8" t="n">
        <v>45133</v>
      </c>
      <c r="D5" s="7">
        <f>COUNTIFS(Seguimientos!$C$2:$C$1013,A5,Seguimientos!$D$2:$D$1013,B5,Seguimientos!$F$2:$F$1013,C5,Seguimientos!$J$2:$J$1013,1)</f>
        <v/>
      </c>
      <c r="E5" s="7">
        <f>COUNTIFS(Seguimientos!$C$2:$C$1013,A5,Seguimientos!$D$2:$D$1013,B5,Seguimientos!$F$2:$F$1013,C5,Seguimientos!$J$2:$J$1013,1,Seguimientos!$H$2:$H$1013,2)</f>
        <v/>
      </c>
      <c r="F5" s="9">
        <f>IF(D5=0,"",AVERAGEIFS(Seguimientos!$I$2:$I$1013,Seguimientos!$C$2:$C$1013,A5,Seguimientos!$D$2:$D$1013,B5,Seguimientos!$F$2:$F$1013,C5,Seguimientos!$J$2:$J$1013,1))</f>
        <v/>
      </c>
      <c r="G5" s="9">
        <f>IF(D5=0,"",E5/D5)</f>
        <v/>
      </c>
    </row>
    <row r="6">
      <c r="A6" s="7" t="inlineStr">
        <is>
          <t>SGC</t>
        </is>
      </c>
      <c r="B6" s="7" t="inlineStr">
        <is>
          <t>2022</t>
        </is>
      </c>
      <c r="C6" s="8" t="n">
        <v>45245</v>
      </c>
      <c r="D6" s="7">
        <f>COUNTIFS(Seguimientos!$C$2:$C$1013,A6,Seguimientos!$D$2:$D$1013,B6,Seguimientos!$F$2:$F$1013,C6,Seguimientos!$J$2:$J$1013,1)</f>
        <v/>
      </c>
      <c r="E6" s="7">
        <f>COUNTIFS(Seguimientos!$C$2:$C$1013,A6,Seguimientos!$D$2:$D$1013,B6,Seguimientos!$F$2:$F$1013,C6,Seguimientos!$J$2:$J$1013,1,Seguimientos!$H$2:$H$1013,2)</f>
        <v/>
      </c>
      <c r="F6" s="9">
        <f>IF(D6=0,"",AVERAGEIFS(Seguimientos!$I$2:$I$1013,Seguimientos!$C$2:$C$1013,A6,Seguimientos!$D$2:$D$1013,B6,Seguimientos!$F$2:$F$1013,C6,Seguimientos!$J$2:$J$1013,1))</f>
        <v/>
      </c>
      <c r="G6" s="9">
        <f>IF(D6=0,"",E6/D6)</f>
        <v/>
      </c>
    </row>
    <row r="7">
      <c r="A7" s="7" t="inlineStr">
        <is>
          <t>SGC</t>
        </is>
      </c>
      <c r="B7" s="7" t="inlineStr">
        <is>
          <t>2022</t>
        </is>
      </c>
      <c r="C7" s="8" t="n">
        <v>45405</v>
      </c>
      <c r="D7" s="7">
        <f>COUNTIFS(Seguimientos!$C$2:$C$1013,A7,Seguimientos!$D$2:$D$1013,B7,Seguimientos!$F$2:$F$1013,C7,Seguimientos!$J$2:$J$1013,1)</f>
        <v/>
      </c>
      <c r="E7" s="7">
        <f>COUNTIFS(Seguimientos!$C$2:$C$1013,A7,Seguimientos!$D$2:$D$1013,B7,Seguimientos!$F$2:$F$1013,C7,Seguimientos!$J$2:$J$1013,1,Seguimientos!$H$2:$H$1013,2)</f>
        <v/>
      </c>
      <c r="F7" s="9">
        <f>IF(D7=0,"",AVERAGEIFS(Seguimientos!$I$2:$I$1013,Seguimientos!$C$2:$C$1013,A7,Seguimientos!$D$2:$D$1013,B7,Seguimientos!$F$2:$F$1013,C7,Seguimientos!$J$2:$J$1013,1))</f>
        <v/>
      </c>
      <c r="G7" s="9">
        <f>IF(D7=0,"",E7/D7)</f>
        <v/>
      </c>
    </row>
    <row r="8">
      <c r="A8" s="7" t="inlineStr">
        <is>
          <t>SGC</t>
        </is>
      </c>
      <c r="B8" s="7" t="inlineStr">
        <is>
          <t>2022</t>
        </is>
      </c>
      <c r="C8" s="8" t="n">
        <v>45497</v>
      </c>
      <c r="D8" s="7">
        <f>COUNTIFS(Seguimientos!$C$2:$C$1013,A8,Seguimientos!$D$2:$D$1013,B8,Seguimientos!$F$2:$F$1013,C8,Seguimientos!$J$2:$J$1013,1)</f>
        <v/>
      </c>
      <c r="E8" s="7">
        <f>COUNTIFS(Seguimientos!$C$2:$C$1013,A8,Seguimientos!$D$2:$D$1013,B8,Seguimientos!$F$2:$F$1013,C8,Seguimientos!$J$2:$J$1013,1,Seguimientos!$H$2:$H$1013,2)</f>
        <v/>
      </c>
      <c r="F8" s="9">
        <f>IF(D8=0,"",AVERAGEIFS(Seguimientos!$I$2:$I$1013,Seguimientos!$C$2:$C$1013,A8,Seguimientos!$D$2:$D$1013,B8,Seguimientos!$F$2:$F$1013,C8,Seguimientos!$J$2:$J$1013,1))</f>
        <v/>
      </c>
      <c r="G8" s="9">
        <f>IF(D8=0,"",E8/D8)</f>
        <v/>
      </c>
    </row>
    <row r="9">
      <c r="A9" s="7" t="inlineStr">
        <is>
          <t>SGC</t>
        </is>
      </c>
      <c r="B9" s="7" t="inlineStr">
        <is>
          <t>2022</t>
        </is>
      </c>
      <c r="C9" s="8" t="n">
        <v>45583</v>
      </c>
      <c r="D9" s="7">
        <f>COUNTIFS(Seguimientos!$C$2:$C$1013,A9,Seguimientos!$D$2:$D$1013,B9,Seguimientos!$F$2:$F$1013,C9,Seguimientos!$J$2:$J$1013,1)</f>
        <v/>
      </c>
      <c r="E9" s="7">
        <f>COUNTIFS(Seguimientos!$C$2:$C$1013,A9,Seguimientos!$D$2:$D$1013,B9,Seguimientos!$F$2:$F$1013,C9,Seguimientos!$J$2:$J$1013,1,Seguimientos!$H$2:$H$1013,2)</f>
        <v/>
      </c>
      <c r="F9" s="9">
        <f>IF(D9=0,"",AVERAGEIFS(Seguimientos!$I$2:$I$1013,Seguimientos!$C$2:$C$1013,A9,Seguimientos!$D$2:$D$1013,B9,Seguimientos!$F$2:$F$1013,C9,Seguimientos!$J$2:$J$1013,1))</f>
        <v/>
      </c>
      <c r="G9" s="9">
        <f>IF(D9=0,"",E9/D9)</f>
        <v/>
      </c>
    </row>
    <row r="10">
      <c r="A10" s="7" t="inlineStr">
        <is>
          <t>SGC</t>
        </is>
      </c>
      <c r="B10" s="7" t="inlineStr">
        <is>
          <t>2022</t>
        </is>
      </c>
      <c r="C10" s="8" t="n">
        <v>45777</v>
      </c>
      <c r="D10" s="7">
        <f>COUNTIFS(Seguimientos!$C$2:$C$1013,A10,Seguimientos!$D$2:$D$1013,B10,Seguimientos!$F$2:$F$1013,C10,Seguimientos!$J$2:$J$1013,1)</f>
        <v/>
      </c>
      <c r="E10" s="7">
        <f>COUNTIFS(Seguimientos!$C$2:$C$1013,A10,Seguimientos!$D$2:$D$1013,B10,Seguimientos!$F$2:$F$1013,C10,Seguimientos!$J$2:$J$1013,1,Seguimientos!$H$2:$H$1013,2)</f>
        <v/>
      </c>
      <c r="F10" s="9">
        <f>IF(D10=0,"",AVERAGEIFS(Seguimientos!$I$2:$I$1013,Seguimientos!$C$2:$C$1013,A10,Seguimientos!$D$2:$D$1013,B10,Seguimientos!$F$2:$F$1013,C10,Seguimientos!$J$2:$J$1013,1))</f>
        <v/>
      </c>
      <c r="G10" s="9">
        <f>IF(D10=0,"",E10/D10)</f>
        <v/>
      </c>
    </row>
    <row r="11">
      <c r="A11" s="7" t="inlineStr">
        <is>
          <t>SGC</t>
        </is>
      </c>
      <c r="B11" s="7" t="inlineStr">
        <is>
          <t>2022</t>
        </is>
      </c>
      <c r="C11" s="8" t="n">
        <v>45838</v>
      </c>
      <c r="D11" s="7">
        <f>COUNTIFS(Seguimientos!$C$2:$C$1013,A11,Seguimientos!$D$2:$D$1013,B11,Seguimientos!$F$2:$F$1013,C11,Seguimientos!$J$2:$J$1013,1)</f>
        <v/>
      </c>
      <c r="E11" s="7">
        <f>COUNTIFS(Seguimientos!$C$2:$C$1013,A11,Seguimientos!$D$2:$D$1013,B11,Seguimientos!$F$2:$F$1013,C11,Seguimientos!$J$2:$J$1013,1,Seguimientos!$H$2:$H$1013,2)</f>
        <v/>
      </c>
      <c r="F11" s="9">
        <f>IF(D11=0,"",AVERAGEIFS(Seguimientos!$I$2:$I$1013,Seguimientos!$C$2:$C$1013,A11,Seguimientos!$D$2:$D$1013,B11,Seguimientos!$F$2:$F$1013,C11,Seguimientos!$J$2:$J$1013,1))</f>
        <v/>
      </c>
      <c r="G11" s="9">
        <f>IF(D11=0,"",E11/D11)</f>
        <v/>
      </c>
    </row>
    <row r="12">
      <c r="A12" s="7" t="inlineStr">
        <is>
          <t>SGC</t>
        </is>
      </c>
      <c r="B12" s="7" t="inlineStr">
        <is>
          <t>2022</t>
        </is>
      </c>
      <c r="C12" s="8" t="n">
        <v>45930</v>
      </c>
      <c r="D12" s="7">
        <f>COUNTIFS(Seguimientos!$C$2:$C$1013,A12,Seguimientos!$D$2:$D$1013,B12,Seguimientos!$F$2:$F$1013,C12,Seguimientos!$J$2:$J$1013,1)</f>
        <v/>
      </c>
      <c r="E12" s="7">
        <f>COUNTIFS(Seguimientos!$C$2:$C$1013,A12,Seguimientos!$D$2:$D$1013,B12,Seguimientos!$F$2:$F$1013,C12,Seguimientos!$J$2:$J$1013,1,Seguimientos!$H$2:$H$1013,2)</f>
        <v/>
      </c>
      <c r="F12" s="9">
        <f>IF(D12=0,"",AVERAGEIFS(Seguimientos!$I$2:$I$1013,Seguimientos!$C$2:$C$1013,A12,Seguimientos!$D$2:$D$1013,B12,Seguimientos!$F$2:$F$1013,C12,Seguimientos!$J$2:$J$1013,1))</f>
        <v/>
      </c>
      <c r="G12" s="9">
        <f>IF(D12=0,"",E12/D12)</f>
        <v/>
      </c>
    </row>
    <row r="13">
      <c r="A13" s="7" t="inlineStr">
        <is>
          <t>SGC</t>
        </is>
      </c>
      <c r="B13" s="7" t="inlineStr">
        <is>
          <t>2023</t>
        </is>
      </c>
      <c r="C13" s="8" t="n">
        <v>45405</v>
      </c>
      <c r="D13" s="7">
        <f>COUNTIFS(Seguimientos!$C$2:$C$1013,A13,Seguimientos!$D$2:$D$1013,B13,Seguimientos!$F$2:$F$1013,C13,Seguimientos!$J$2:$J$1013,1)</f>
        <v/>
      </c>
      <c r="E13" s="7">
        <f>COUNTIFS(Seguimientos!$C$2:$C$1013,A13,Seguimientos!$D$2:$D$1013,B13,Seguimientos!$F$2:$F$1013,C13,Seguimientos!$J$2:$J$1013,1,Seguimientos!$H$2:$H$1013,2)</f>
        <v/>
      </c>
      <c r="F13" s="9">
        <f>IF(D13=0,"",AVERAGEIFS(Seguimientos!$I$2:$I$1013,Seguimientos!$C$2:$C$1013,A13,Seguimientos!$D$2:$D$1013,B13,Seguimientos!$F$2:$F$1013,C13,Seguimientos!$J$2:$J$1013,1))</f>
        <v/>
      </c>
      <c r="G13" s="9">
        <f>IF(D13=0,"",E13/D13)</f>
        <v/>
      </c>
    </row>
    <row r="14">
      <c r="A14" s="7" t="inlineStr">
        <is>
          <t>SGC</t>
        </is>
      </c>
      <c r="B14" s="7" t="inlineStr">
        <is>
          <t>2023</t>
        </is>
      </c>
      <c r="C14" s="8" t="n">
        <v>45497</v>
      </c>
      <c r="D14" s="7">
        <f>COUNTIFS(Seguimientos!$C$2:$C$1013,A14,Seguimientos!$D$2:$D$1013,B14,Seguimientos!$F$2:$F$1013,C14,Seguimientos!$J$2:$J$1013,1)</f>
        <v/>
      </c>
      <c r="E14" s="7">
        <f>COUNTIFS(Seguimientos!$C$2:$C$1013,A14,Seguimientos!$D$2:$D$1013,B14,Seguimientos!$F$2:$F$1013,C14,Seguimientos!$J$2:$J$1013,1,Seguimientos!$H$2:$H$1013,2)</f>
        <v/>
      </c>
      <c r="F14" s="9">
        <f>IF(D14=0,"",AVERAGEIFS(Seguimientos!$I$2:$I$1013,Seguimientos!$C$2:$C$1013,A14,Seguimientos!$D$2:$D$1013,B14,Seguimientos!$F$2:$F$1013,C14,Seguimientos!$J$2:$J$1013,1))</f>
        <v/>
      </c>
      <c r="G14" s="9">
        <f>IF(D14=0,"",E14/D14)</f>
        <v/>
      </c>
    </row>
    <row r="15">
      <c r="A15" s="7" t="inlineStr">
        <is>
          <t>SGC</t>
        </is>
      </c>
      <c r="B15" s="7" t="inlineStr">
        <is>
          <t>2023</t>
        </is>
      </c>
      <c r="C15" s="8" t="n">
        <v>45583</v>
      </c>
      <c r="D15" s="7">
        <f>COUNTIFS(Seguimientos!$C$2:$C$1013,A15,Seguimientos!$D$2:$D$1013,B15,Seguimientos!$F$2:$F$1013,C15,Seguimientos!$J$2:$J$1013,1)</f>
        <v/>
      </c>
      <c r="E15" s="7">
        <f>COUNTIFS(Seguimientos!$C$2:$C$1013,A15,Seguimientos!$D$2:$D$1013,B15,Seguimientos!$F$2:$F$1013,C15,Seguimientos!$J$2:$J$1013,1,Seguimientos!$H$2:$H$1013,2)</f>
        <v/>
      </c>
      <c r="F15" s="9">
        <f>IF(D15=0,"",AVERAGEIFS(Seguimientos!$I$2:$I$1013,Seguimientos!$C$2:$C$1013,A15,Seguimientos!$D$2:$D$1013,B15,Seguimientos!$F$2:$F$1013,C15,Seguimientos!$J$2:$J$1013,1))</f>
        <v/>
      </c>
      <c r="G15" s="9">
        <f>IF(D15=0,"",E15/D15)</f>
        <v/>
      </c>
    </row>
    <row r="16">
      <c r="A16" s="7" t="inlineStr">
        <is>
          <t>SGC</t>
        </is>
      </c>
      <c r="B16" s="7" t="inlineStr">
        <is>
          <t>2023</t>
        </is>
      </c>
      <c r="C16" s="8" t="n">
        <v>45777</v>
      </c>
      <c r="D16" s="7">
        <f>COUNTIFS(Seguimientos!$C$2:$C$1013,A16,Seguimientos!$D$2:$D$1013,B16,Seguimientos!$F$2:$F$1013,C16,Seguimientos!$J$2:$J$1013,1)</f>
        <v/>
      </c>
      <c r="E16" s="7">
        <f>COUNTIFS(Seguimientos!$C$2:$C$1013,A16,Seguimientos!$D$2:$D$1013,B16,Seguimientos!$F$2:$F$1013,C16,Seguimientos!$J$2:$J$1013,1,Seguimientos!$H$2:$H$1013,2)</f>
        <v/>
      </c>
      <c r="F16" s="9">
        <f>IF(D16=0,"",AVERAGEIFS(Seguimientos!$I$2:$I$1013,Seguimientos!$C$2:$C$1013,A16,Seguimientos!$D$2:$D$1013,B16,Seguimientos!$F$2:$F$1013,C16,Seguimientos!$J$2:$J$1013,1))</f>
        <v/>
      </c>
      <c r="G16" s="9">
        <f>IF(D16=0,"",E16/D16)</f>
        <v/>
      </c>
    </row>
    <row r="17">
      <c r="A17" s="7" t="inlineStr">
        <is>
          <t>SGC</t>
        </is>
      </c>
      <c r="B17" s="7" t="inlineStr">
        <is>
          <t>2023</t>
        </is>
      </c>
      <c r="C17" s="8" t="n">
        <v>45838</v>
      </c>
      <c r="D17" s="7">
        <f>COUNTIFS(Seguimientos!$C$2:$C$1013,A17,Seguimientos!$D$2:$D$1013,B17,Seguimientos!$F$2:$F$1013,C17,Seguimientos!$J$2:$J$1013,1)</f>
        <v/>
      </c>
      <c r="E17" s="7">
        <f>COUNTIFS(Seguimientos!$C$2:$C$1013,A17,Seguimientos!$D$2:$D$1013,B17,Seguimientos!$F$2:$F$1013,C17,Seguimientos!$J$2:$J$1013,1,Seguimientos!$H$2:$H$1013,2)</f>
        <v/>
      </c>
      <c r="F17" s="9">
        <f>IF(D17=0,"",AVERAGEIFS(Seguimientos!$I$2:$I$1013,Seguimientos!$C$2:$C$1013,A17,Seguimientos!$D$2:$D$1013,B17,Seguimientos!$F$2:$F$1013,C17,Seguimientos!$J$2:$J$1013,1))</f>
        <v/>
      </c>
      <c r="G17" s="9">
        <f>IF(D17=0,"",E17/D17)</f>
        <v/>
      </c>
    </row>
    <row r="18">
      <c r="A18" s="7" t="inlineStr">
        <is>
          <t>SGC</t>
        </is>
      </c>
      <c r="B18" s="7" t="inlineStr">
        <is>
          <t>2023</t>
        </is>
      </c>
      <c r="C18" s="8" t="n">
        <v>45930</v>
      </c>
      <c r="D18" s="7">
        <f>COUNTIFS(Seguimientos!$C$2:$C$1013,A18,Seguimientos!$D$2:$D$1013,B18,Seguimientos!$F$2:$F$1013,C18,Seguimientos!$J$2:$J$1013,1)</f>
        <v/>
      </c>
      <c r="E18" s="7">
        <f>COUNTIFS(Seguimientos!$C$2:$C$1013,A18,Seguimientos!$D$2:$D$1013,B18,Seguimientos!$F$2:$F$1013,C18,Seguimientos!$J$2:$J$1013,1,Seguimientos!$H$2:$H$1013,2)</f>
        <v/>
      </c>
      <c r="F18" s="9">
        <f>IF(D18=0,"",AVERAGEIFS(Seguimientos!$I$2:$I$1013,Seguimientos!$C$2:$C$1013,A18,Seguimientos!$D$2:$D$1013,B18,Seguimientos!$F$2:$F$1013,C18,Seguimientos!$J$2:$J$1013,1))</f>
        <v/>
      </c>
      <c r="G18" s="9">
        <f>IF(D18=0,"",E18/D18)</f>
        <v/>
      </c>
    </row>
    <row r="19">
      <c r="A19" s="7" t="inlineStr">
        <is>
          <t>SGC</t>
        </is>
      </c>
      <c r="B19" s="7" t="inlineStr">
        <is>
          <t>2023</t>
        </is>
      </c>
      <c r="C19" s="8" t="n">
        <v>46021</v>
      </c>
      <c r="D19" s="7">
        <f>COUNTIFS(Seguimientos!$C$2:$C$1013,A19,Seguimientos!$D$2:$D$1013,B19,Seguimientos!$F$2:$F$1013,C19,Seguimientos!$J$2:$J$1013,1)</f>
        <v/>
      </c>
      <c r="E19" s="7">
        <f>COUNTIFS(Seguimientos!$C$2:$C$1013,A19,Seguimientos!$D$2:$D$1013,B19,Seguimientos!$F$2:$F$1013,C19,Seguimientos!$J$2:$J$1013,1,Seguimientos!$H$2:$H$1013,2)</f>
        <v/>
      </c>
      <c r="F19" s="9">
        <f>IF(D19=0,"",AVERAGEIFS(Seguimientos!$I$2:$I$1013,Seguimientos!$C$2:$C$1013,A19,Seguimientos!$D$2:$D$1013,B19,Seguimientos!$F$2:$F$1013,C19,Seguimientos!$J$2:$J$1013,1))</f>
        <v/>
      </c>
      <c r="G19" s="9">
        <f>IF(D19=0,"",E19/D19)</f>
        <v/>
      </c>
    </row>
    <row r="20">
      <c r="A20" s="7" t="inlineStr">
        <is>
          <t>SGC</t>
        </is>
      </c>
      <c r="B20" s="7" t="inlineStr">
        <is>
          <t>2023</t>
        </is>
      </c>
      <c r="C20" s="8" t="n">
        <v>46142</v>
      </c>
      <c r="D20" s="7">
        <f>COUNTIFS(Seguimientos!$C$2:$C$1013,A20,Seguimientos!$D$2:$D$1013,B20,Seguimientos!$F$2:$F$1013,C20,Seguimientos!$J$2:$J$1013,1)</f>
        <v/>
      </c>
      <c r="E20" s="7">
        <f>COUNTIFS(Seguimientos!$C$2:$C$1013,A20,Seguimientos!$D$2:$D$1013,B20,Seguimientos!$F$2:$F$1013,C20,Seguimientos!$J$2:$J$1013,1,Seguimientos!$H$2:$H$1013,2)</f>
        <v/>
      </c>
      <c r="F20" s="9">
        <f>IF(D20=0,"",AVERAGEIFS(Seguimientos!$I$2:$I$1013,Seguimientos!$C$2:$C$1013,A20,Seguimientos!$D$2:$D$1013,B20,Seguimientos!$F$2:$F$1013,C20,Seguimientos!$J$2:$J$1013,1))</f>
        <v/>
      </c>
      <c r="G20" s="9">
        <f>IF(D20=0,"",E20/D20)</f>
        <v/>
      </c>
    </row>
    <row r="21">
      <c r="A21" s="7" t="inlineStr">
        <is>
          <t>SGC</t>
        </is>
      </c>
      <c r="B21" s="7" t="inlineStr">
        <is>
          <t>2023</t>
        </is>
      </c>
      <c r="C21" s="8" t="n">
        <v>46203</v>
      </c>
      <c r="D21" s="7">
        <f>COUNTIFS(Seguimientos!$C$2:$C$1013,A21,Seguimientos!$D$2:$D$1013,B21,Seguimientos!$F$2:$F$1013,C21,Seguimientos!$J$2:$J$1013,1)</f>
        <v/>
      </c>
      <c r="E21" s="7">
        <f>COUNTIFS(Seguimientos!$C$2:$C$1013,A21,Seguimientos!$D$2:$D$1013,B21,Seguimientos!$F$2:$F$1013,C21,Seguimientos!$J$2:$J$1013,1,Seguimientos!$H$2:$H$1013,2)</f>
        <v/>
      </c>
      <c r="F21" s="9">
        <f>IF(D21=0,"",AVERAGEIFS(Seguimientos!$I$2:$I$1013,Seguimientos!$C$2:$C$1013,A21,Seguimientos!$D$2:$D$1013,B21,Seguimientos!$F$2:$F$1013,C21,Seguimientos!$J$2:$J$1013,1))</f>
        <v/>
      </c>
      <c r="G21" s="9">
        <f>IF(D21=0,"",E21/D21)</f>
        <v/>
      </c>
    </row>
    <row r="22">
      <c r="A22" s="7" t="inlineStr">
        <is>
          <t>SGC</t>
        </is>
      </c>
      <c r="B22" s="7" t="inlineStr">
        <is>
          <t>2024</t>
        </is>
      </c>
      <c r="C22" s="8" t="n">
        <v>45777</v>
      </c>
      <c r="D22" s="7">
        <f>COUNTIFS(Seguimientos!$C$2:$C$1013,A22,Seguimientos!$D$2:$D$1013,B22,Seguimientos!$F$2:$F$1013,C22,Seguimientos!$J$2:$J$1013,1)</f>
        <v/>
      </c>
      <c r="E22" s="7">
        <f>COUNTIFS(Seguimientos!$C$2:$C$1013,A22,Seguimientos!$D$2:$D$1013,B22,Seguimientos!$F$2:$F$1013,C22,Seguimientos!$J$2:$J$1013,1,Seguimientos!$H$2:$H$1013,2)</f>
        <v/>
      </c>
      <c r="F22" s="9">
        <f>IF(D22=0,"",AVERAGEIFS(Seguimientos!$I$2:$I$1013,Seguimientos!$C$2:$C$1013,A22,Seguimientos!$D$2:$D$1013,B22,Seguimientos!$F$2:$F$1013,C22,Seguimientos!$J$2:$J$1013,1))</f>
        <v/>
      </c>
      <c r="G22" s="9">
        <f>IF(D22=0,"",E22/D22)</f>
        <v/>
      </c>
    </row>
    <row r="23">
      <c r="A23" s="7" t="inlineStr">
        <is>
          <t>SGC</t>
        </is>
      </c>
      <c r="B23" s="7" t="inlineStr">
        <is>
          <t>2024</t>
        </is>
      </c>
      <c r="C23" s="8" t="n">
        <v>45838</v>
      </c>
      <c r="D23" s="7">
        <f>COUNTIFS(Seguimientos!$C$2:$C$1013,A23,Seguimientos!$D$2:$D$1013,B23,Seguimientos!$F$2:$F$1013,C23,Seguimientos!$J$2:$J$1013,1)</f>
        <v/>
      </c>
      <c r="E23" s="7">
        <f>COUNTIFS(Seguimientos!$C$2:$C$1013,A23,Seguimientos!$D$2:$D$1013,B23,Seguimientos!$F$2:$F$1013,C23,Seguimientos!$J$2:$J$1013,1,Seguimientos!$H$2:$H$1013,2)</f>
        <v/>
      </c>
      <c r="F23" s="9">
        <f>IF(D23=0,"",AVERAGEIFS(Seguimientos!$I$2:$I$1013,Seguimientos!$C$2:$C$1013,A23,Seguimientos!$D$2:$D$1013,B23,Seguimientos!$F$2:$F$1013,C23,Seguimientos!$J$2:$J$1013,1))</f>
        <v/>
      </c>
      <c r="G23" s="9">
        <f>IF(D23=0,"",E23/D23)</f>
        <v/>
      </c>
    </row>
    <row r="24">
      <c r="A24" s="7" t="inlineStr">
        <is>
          <t>SGC</t>
        </is>
      </c>
      <c r="B24" s="7" t="inlineStr">
        <is>
          <t>2024</t>
        </is>
      </c>
      <c r="C24" s="8" t="n">
        <v>45930</v>
      </c>
      <c r="D24" s="7">
        <f>COUNTIFS(Seguimientos!$C$2:$C$1013,A24,Seguimientos!$D$2:$D$1013,B24,Seguimientos!$F$2:$F$1013,C24,Seguimientos!$J$2:$J$1013,1)</f>
        <v/>
      </c>
      <c r="E24" s="7">
        <f>COUNTIFS(Seguimientos!$C$2:$C$1013,A24,Seguimientos!$D$2:$D$1013,B24,Seguimientos!$F$2:$F$1013,C24,Seguimientos!$J$2:$J$1013,1,Seguimientos!$H$2:$H$1013,2)</f>
        <v/>
      </c>
      <c r="F24" s="9">
        <f>IF(D24=0,"",AVERAGEIFS(Seguimientos!$I$2:$I$1013,Seguimientos!$C$2:$C$1013,A24,Seguimientos!$D$2:$D$1013,B24,Seguimientos!$F$2:$F$1013,C24,Seguimientos!$J$2:$J$1013,1))</f>
        <v/>
      </c>
      <c r="G24" s="9">
        <f>IF(D24=0,"",E24/D24)</f>
        <v/>
      </c>
    </row>
    <row r="25">
      <c r="A25" s="7" t="inlineStr">
        <is>
          <t>SGC</t>
        </is>
      </c>
      <c r="B25" s="7" t="inlineStr">
        <is>
          <t>2024</t>
        </is>
      </c>
      <c r="C25" s="8" t="n">
        <v>46021</v>
      </c>
      <c r="D25" s="7">
        <f>COUNTIFS(Seguimientos!$C$2:$C$1013,A25,Seguimientos!$D$2:$D$1013,B25,Seguimientos!$F$2:$F$1013,C25,Seguimientos!$J$2:$J$1013,1)</f>
        <v/>
      </c>
      <c r="E25" s="7">
        <f>COUNTIFS(Seguimientos!$C$2:$C$1013,A25,Seguimientos!$D$2:$D$1013,B25,Seguimientos!$F$2:$F$1013,C25,Seguimientos!$J$2:$J$1013,1,Seguimientos!$H$2:$H$1013,2)</f>
        <v/>
      </c>
      <c r="F25" s="9">
        <f>IF(D25=0,"",AVERAGEIFS(Seguimientos!$I$2:$I$1013,Seguimientos!$C$2:$C$1013,A25,Seguimientos!$D$2:$D$1013,B25,Seguimientos!$F$2:$F$1013,C25,Seguimientos!$J$2:$J$1013,1))</f>
        <v/>
      </c>
      <c r="G25" s="9">
        <f>IF(D25=0,"",E25/D25)</f>
        <v/>
      </c>
    </row>
    <row r="26">
      <c r="A26" s="7" t="inlineStr">
        <is>
          <t>SGC</t>
        </is>
      </c>
      <c r="B26" s="7" t="inlineStr">
        <is>
          <t>2024</t>
        </is>
      </c>
      <c r="C26" s="8" t="n">
        <v>46142</v>
      </c>
      <c r="D26" s="7">
        <f>COUNTIFS(Seguimientos!$C$2:$C$1013,A26,Seguimientos!$D$2:$D$1013,B26,Seguimientos!$F$2:$F$1013,C26,Seguimientos!$J$2:$J$1013,1)</f>
        <v/>
      </c>
      <c r="E26" s="7">
        <f>COUNTIFS(Seguimientos!$C$2:$C$1013,A26,Seguimientos!$D$2:$D$1013,B26,Seguimientos!$F$2:$F$1013,C26,Seguimientos!$J$2:$J$1013,1,Seguimientos!$H$2:$H$1013,2)</f>
        <v/>
      </c>
      <c r="F26" s="9">
        <f>IF(D26=0,"",AVERAGEIFS(Seguimientos!$I$2:$I$1013,Seguimientos!$C$2:$C$1013,A26,Seguimientos!$D$2:$D$1013,B26,Seguimientos!$F$2:$F$1013,C26,Seguimientos!$J$2:$J$1013,1))</f>
        <v/>
      </c>
      <c r="G26" s="9">
        <f>IF(D26=0,"",E26/D26)</f>
        <v/>
      </c>
    </row>
    <row r="27">
      <c r="A27" s="7" t="inlineStr">
        <is>
          <t>SGC</t>
        </is>
      </c>
      <c r="B27" s="7" t="inlineStr">
        <is>
          <t>2025</t>
        </is>
      </c>
      <c r="C27" s="8" t="n">
        <v>46021</v>
      </c>
      <c r="D27" s="7">
        <f>COUNTIFS(Seguimientos!$C$2:$C$1013,A27,Seguimientos!$D$2:$D$1013,B27,Seguimientos!$F$2:$F$1013,C27,Seguimientos!$J$2:$J$1013,1)</f>
        <v/>
      </c>
      <c r="E27" s="7">
        <f>COUNTIFS(Seguimientos!$C$2:$C$1013,A27,Seguimientos!$D$2:$D$1013,B27,Seguimientos!$F$2:$F$1013,C27,Seguimientos!$J$2:$J$1013,1,Seguimientos!$H$2:$H$1013,2)</f>
        <v/>
      </c>
      <c r="F27" s="9">
        <f>IF(D27=0,"",AVERAGEIFS(Seguimientos!$I$2:$I$1013,Seguimientos!$C$2:$C$1013,A27,Seguimientos!$D$2:$D$1013,B27,Seguimientos!$F$2:$F$1013,C27,Seguimientos!$J$2:$J$1013,1))</f>
        <v/>
      </c>
      <c r="G27" s="9">
        <f>IF(D27=0,"",E27/D27)</f>
        <v/>
      </c>
    </row>
    <row r="28">
      <c r="A28" s="7" t="inlineStr">
        <is>
          <t>SGC</t>
        </is>
      </c>
      <c r="B28" s="7" t="inlineStr">
        <is>
          <t>2025</t>
        </is>
      </c>
      <c r="C28" s="8" t="n">
        <v>46142</v>
      </c>
      <c r="D28" s="7">
        <f>COUNTIFS(Seguimientos!$C$2:$C$1013,A28,Seguimientos!$D$2:$D$1013,B28,Seguimientos!$F$2:$F$1013,C28,Seguimientos!$J$2:$J$1013,1)</f>
        <v/>
      </c>
      <c r="E28" s="7">
        <f>COUNTIFS(Seguimientos!$C$2:$C$1013,A28,Seguimientos!$D$2:$D$1013,B28,Seguimientos!$F$2:$F$1013,C28,Seguimientos!$J$2:$J$1013,1,Seguimientos!$H$2:$H$1013,2)</f>
        <v/>
      </c>
      <c r="F28" s="9">
        <f>IF(D28=0,"",AVERAGEIFS(Seguimientos!$I$2:$I$1013,Seguimientos!$C$2:$C$1013,A28,Seguimientos!$D$2:$D$1013,B28,Seguimientos!$F$2:$F$1013,C28,Seguimientos!$J$2:$J$1013,1))</f>
        <v/>
      </c>
      <c r="G28" s="9">
        <f>IF(D28=0,"",E28/D28)</f>
        <v/>
      </c>
    </row>
    <row r="29">
      <c r="A29" s="7" t="inlineStr">
        <is>
          <t>SGC</t>
        </is>
      </c>
      <c r="B29" s="7" t="inlineStr">
        <is>
          <t>2025</t>
        </is>
      </c>
      <c r="C29" s="8" t="n">
        <v>46203</v>
      </c>
      <c r="D29" s="7">
        <f>COUNTIFS(Seguimientos!$C$2:$C$1013,A29,Seguimientos!$D$2:$D$1013,B29,Seguimientos!$F$2:$F$1013,C29,Seguimientos!$J$2:$J$1013,1)</f>
        <v/>
      </c>
      <c r="E29" s="7">
        <f>COUNTIFS(Seguimientos!$C$2:$C$1013,A29,Seguimientos!$D$2:$D$1013,B29,Seguimientos!$F$2:$F$1013,C29,Seguimientos!$J$2:$J$1013,1,Seguimientos!$H$2:$H$1013,2)</f>
        <v/>
      </c>
      <c r="F29" s="9">
        <f>IF(D29=0,"",AVERAGEIFS(Seguimientos!$I$2:$I$1013,Seguimientos!$C$2:$C$1013,A29,Seguimientos!$D$2:$D$1013,B29,Seguimientos!$F$2:$F$1013,C29,Seguimientos!$J$2:$J$1013,1))</f>
        <v/>
      </c>
      <c r="G29" s="9">
        <f>IF(D29=0,"",E29/D29)</f>
        <v/>
      </c>
    </row>
    <row r="30">
      <c r="A30" s="7" t="inlineStr">
        <is>
          <t>SGC</t>
        </is>
      </c>
      <c r="B30" s="7" t="inlineStr">
        <is>
          <t>2025</t>
        </is>
      </c>
      <c r="C30" s="8" t="n">
        <v>46295</v>
      </c>
      <c r="D30" s="7">
        <f>COUNTIFS(Seguimientos!$C$2:$C$1013,A30,Seguimientos!$D$2:$D$1013,B30,Seguimientos!$F$2:$F$1013,C30,Seguimientos!$J$2:$J$1013,1)</f>
        <v/>
      </c>
      <c r="E30" s="7">
        <f>COUNTIFS(Seguimientos!$C$2:$C$1013,A30,Seguimientos!$D$2:$D$1013,B30,Seguimientos!$F$2:$F$1013,C30,Seguimientos!$J$2:$J$1013,1,Seguimientos!$H$2:$H$1013,2)</f>
        <v/>
      </c>
      <c r="F30" s="9">
        <f>IF(D30=0,"",AVERAGEIFS(Seguimientos!$I$2:$I$1013,Seguimientos!$C$2:$C$1013,A30,Seguimientos!$D$2:$D$1013,B30,Seguimientos!$F$2:$F$1013,C30,Seguimientos!$J$2:$J$1013,1))</f>
        <v/>
      </c>
      <c r="G30" s="9">
        <f>IF(D30=0,"",E30/D30)</f>
        <v/>
      </c>
    </row>
    <row r="31">
      <c r="A31" s="7" t="inlineStr">
        <is>
          <t>SGA</t>
        </is>
      </c>
      <c r="B31" s="7" t="inlineStr">
        <is>
          <t>2022</t>
        </is>
      </c>
      <c r="C31" s="8" t="n">
        <v>45133</v>
      </c>
      <c r="D31" s="7">
        <f>COUNTIFS(Seguimientos!$C$2:$C$1013,A31,Seguimientos!$D$2:$D$1013,B31,Seguimientos!$F$2:$F$1013,C31,Seguimientos!$J$2:$J$1013,1)</f>
        <v/>
      </c>
      <c r="E31" s="7">
        <f>COUNTIFS(Seguimientos!$C$2:$C$1013,A31,Seguimientos!$D$2:$D$1013,B31,Seguimientos!$F$2:$F$1013,C31,Seguimientos!$J$2:$J$1013,1,Seguimientos!$H$2:$H$1013,2)</f>
        <v/>
      </c>
      <c r="F31" s="9">
        <f>IF(D31=0,"",AVERAGEIFS(Seguimientos!$I$2:$I$1013,Seguimientos!$C$2:$C$1013,A31,Seguimientos!$D$2:$D$1013,B31,Seguimientos!$F$2:$F$1013,C31,Seguimientos!$J$2:$J$1013,1))</f>
        <v/>
      </c>
      <c r="G31" s="9">
        <f>IF(D31=0,"",E31/D31)</f>
        <v/>
      </c>
    </row>
    <row r="32">
      <c r="A32" s="7" t="inlineStr">
        <is>
          <t>SGA</t>
        </is>
      </c>
      <c r="B32" s="7" t="inlineStr">
        <is>
          <t>2022</t>
        </is>
      </c>
      <c r="C32" s="8" t="n">
        <v>45245</v>
      </c>
      <c r="D32" s="7">
        <f>COUNTIFS(Seguimientos!$C$2:$C$1013,A32,Seguimientos!$D$2:$D$1013,B32,Seguimientos!$F$2:$F$1013,C32,Seguimientos!$J$2:$J$1013,1)</f>
        <v/>
      </c>
      <c r="E32" s="7">
        <f>COUNTIFS(Seguimientos!$C$2:$C$1013,A32,Seguimientos!$D$2:$D$1013,B32,Seguimientos!$F$2:$F$1013,C32,Seguimientos!$J$2:$J$1013,1,Seguimientos!$H$2:$H$1013,2)</f>
        <v/>
      </c>
      <c r="F32" s="9">
        <f>IF(D32=0,"",AVERAGEIFS(Seguimientos!$I$2:$I$1013,Seguimientos!$C$2:$C$1013,A32,Seguimientos!$D$2:$D$1013,B32,Seguimientos!$F$2:$F$1013,C32,Seguimientos!$J$2:$J$1013,1))</f>
        <v/>
      </c>
      <c r="G32" s="9">
        <f>IF(D32=0,"",E32/D32)</f>
        <v/>
      </c>
    </row>
    <row r="33">
      <c r="A33" s="7" t="inlineStr">
        <is>
          <t>SGA</t>
        </is>
      </c>
      <c r="B33" s="7" t="inlineStr">
        <is>
          <t>2022</t>
        </is>
      </c>
      <c r="C33" s="8" t="n">
        <v>45405</v>
      </c>
      <c r="D33" s="7">
        <f>COUNTIFS(Seguimientos!$C$2:$C$1013,A33,Seguimientos!$D$2:$D$1013,B33,Seguimientos!$F$2:$F$1013,C33,Seguimientos!$J$2:$J$1013,1)</f>
        <v/>
      </c>
      <c r="E33" s="7">
        <f>COUNTIFS(Seguimientos!$C$2:$C$1013,A33,Seguimientos!$D$2:$D$1013,B33,Seguimientos!$F$2:$F$1013,C33,Seguimientos!$J$2:$J$1013,1,Seguimientos!$H$2:$H$1013,2)</f>
        <v/>
      </c>
      <c r="F33" s="9">
        <f>IF(D33=0,"",AVERAGEIFS(Seguimientos!$I$2:$I$1013,Seguimientos!$C$2:$C$1013,A33,Seguimientos!$D$2:$D$1013,B33,Seguimientos!$F$2:$F$1013,C33,Seguimientos!$J$2:$J$1013,1))</f>
        <v/>
      </c>
      <c r="G33" s="9">
        <f>IF(D33=0,"",E33/D33)</f>
        <v/>
      </c>
    </row>
    <row r="34">
      <c r="A34" s="7" t="inlineStr">
        <is>
          <t>SGA</t>
        </is>
      </c>
      <c r="B34" s="7" t="inlineStr">
        <is>
          <t>2022</t>
        </is>
      </c>
      <c r="C34" s="8" t="n">
        <v>45497</v>
      </c>
      <c r="D34" s="7">
        <f>COUNTIFS(Seguimientos!$C$2:$C$1013,A34,Seguimientos!$D$2:$D$1013,B34,Seguimientos!$F$2:$F$1013,C34,Seguimientos!$J$2:$J$1013,1)</f>
        <v/>
      </c>
      <c r="E34" s="7">
        <f>COUNTIFS(Seguimientos!$C$2:$C$1013,A34,Seguimientos!$D$2:$D$1013,B34,Seguimientos!$F$2:$F$1013,C34,Seguimientos!$J$2:$J$1013,1,Seguimientos!$H$2:$H$1013,2)</f>
        <v/>
      </c>
      <c r="F34" s="9">
        <f>IF(D34=0,"",AVERAGEIFS(Seguimientos!$I$2:$I$1013,Seguimientos!$C$2:$C$1013,A34,Seguimientos!$D$2:$D$1013,B34,Seguimientos!$F$2:$F$1013,C34,Seguimientos!$J$2:$J$1013,1))</f>
        <v/>
      </c>
      <c r="G34" s="9">
        <f>IF(D34=0,"",E34/D34)</f>
        <v/>
      </c>
    </row>
    <row r="35">
      <c r="A35" s="7" t="inlineStr">
        <is>
          <t>SGA</t>
        </is>
      </c>
      <c r="B35" s="7" t="inlineStr">
        <is>
          <t>2022</t>
        </is>
      </c>
      <c r="C35" s="8" t="n">
        <v>45583</v>
      </c>
      <c r="D35" s="7">
        <f>COUNTIFS(Seguimientos!$C$2:$C$1013,A35,Seguimientos!$D$2:$D$1013,B35,Seguimientos!$F$2:$F$1013,C35,Seguimientos!$J$2:$J$1013,1)</f>
        <v/>
      </c>
      <c r="E35" s="7">
        <f>COUNTIFS(Seguimientos!$C$2:$C$1013,A35,Seguimientos!$D$2:$D$1013,B35,Seguimientos!$F$2:$F$1013,C35,Seguimientos!$J$2:$J$1013,1,Seguimientos!$H$2:$H$1013,2)</f>
        <v/>
      </c>
      <c r="F35" s="9">
        <f>IF(D35=0,"",AVERAGEIFS(Seguimientos!$I$2:$I$1013,Seguimientos!$C$2:$C$1013,A35,Seguimientos!$D$2:$D$1013,B35,Seguimientos!$F$2:$F$1013,C35,Seguimientos!$J$2:$J$1013,1))</f>
        <v/>
      </c>
      <c r="G35" s="9">
        <f>IF(D35=0,"",E35/D35)</f>
        <v/>
      </c>
    </row>
    <row r="36">
      <c r="A36" s="7" t="inlineStr">
        <is>
          <t>SGA</t>
        </is>
      </c>
      <c r="B36" s="7" t="inlineStr">
        <is>
          <t>2022</t>
        </is>
      </c>
      <c r="C36" s="8" t="n">
        <v>45838</v>
      </c>
      <c r="D36" s="7">
        <f>COUNTIFS(Seguimientos!$C$2:$C$1013,A36,Seguimientos!$D$2:$D$1013,B36,Seguimientos!$F$2:$F$1013,C36,Seguimientos!$J$2:$J$1013,1)</f>
        <v/>
      </c>
      <c r="E36" s="7">
        <f>COUNTIFS(Seguimientos!$C$2:$C$1013,A36,Seguimientos!$D$2:$D$1013,B36,Seguimientos!$F$2:$F$1013,C36,Seguimientos!$J$2:$J$1013,1,Seguimientos!$H$2:$H$1013,2)</f>
        <v/>
      </c>
      <c r="F36" s="9">
        <f>IF(D36=0,"",AVERAGEIFS(Seguimientos!$I$2:$I$1013,Seguimientos!$C$2:$C$1013,A36,Seguimientos!$D$2:$D$1013,B36,Seguimientos!$F$2:$F$1013,C36,Seguimientos!$J$2:$J$1013,1))</f>
        <v/>
      </c>
      <c r="G36" s="9">
        <f>IF(D36=0,"",E36/D36)</f>
        <v/>
      </c>
    </row>
    <row r="37">
      <c r="A37" s="7" t="inlineStr">
        <is>
          <t>SGA</t>
        </is>
      </c>
      <c r="B37" s="7" t="inlineStr">
        <is>
          <t>2022</t>
        </is>
      </c>
      <c r="C37" s="8" t="n">
        <v>45930</v>
      </c>
      <c r="D37" s="7">
        <f>COUNTIFS(Seguimientos!$C$2:$C$1013,A37,Seguimientos!$D$2:$D$1013,B37,Seguimientos!$F$2:$F$1013,C37,Seguimientos!$J$2:$J$1013,1)</f>
        <v/>
      </c>
      <c r="E37" s="7">
        <f>COUNTIFS(Seguimientos!$C$2:$C$1013,A37,Seguimientos!$D$2:$D$1013,B37,Seguimientos!$F$2:$F$1013,C37,Seguimientos!$J$2:$J$1013,1,Seguimientos!$H$2:$H$1013,2)</f>
        <v/>
      </c>
      <c r="F37" s="9">
        <f>IF(D37=0,"",AVERAGEIFS(Seguimientos!$I$2:$I$1013,Seguimientos!$C$2:$C$1013,A37,Seguimientos!$D$2:$D$1013,B37,Seguimientos!$F$2:$F$1013,C37,Seguimientos!$J$2:$J$1013,1))</f>
        <v/>
      </c>
      <c r="G37" s="9">
        <f>IF(D37=0,"",E37/D37)</f>
        <v/>
      </c>
    </row>
    <row r="38">
      <c r="A38" s="7" t="inlineStr">
        <is>
          <t>SGA</t>
        </is>
      </c>
      <c r="B38" s="7" t="inlineStr">
        <is>
          <t>2022</t>
        </is>
      </c>
      <c r="C38" s="8" t="n">
        <v>46053</v>
      </c>
      <c r="D38" s="7">
        <f>COUNTIFS(Seguimientos!$C$2:$C$1013,A38,Seguimientos!$D$2:$D$1013,B38,Seguimientos!$F$2:$F$1013,C38,Seguimientos!$J$2:$J$1013,1)</f>
        <v/>
      </c>
      <c r="E38" s="7">
        <f>COUNTIFS(Seguimientos!$C$2:$C$1013,A38,Seguimientos!$D$2:$D$1013,B38,Seguimientos!$F$2:$F$1013,C38,Seguimientos!$J$2:$J$1013,1,Seguimientos!$H$2:$H$1013,2)</f>
        <v/>
      </c>
      <c r="F38" s="9">
        <f>IF(D38=0,"",AVERAGEIFS(Seguimientos!$I$2:$I$1013,Seguimientos!$C$2:$C$1013,A38,Seguimientos!$D$2:$D$1013,B38,Seguimientos!$F$2:$F$1013,C38,Seguimientos!$J$2:$J$1013,1))</f>
        <v/>
      </c>
      <c r="G38" s="9">
        <f>IF(D38=0,"",E38/D38)</f>
        <v/>
      </c>
    </row>
    <row r="39">
      <c r="A39" s="7" t="inlineStr">
        <is>
          <t>SGA</t>
        </is>
      </c>
      <c r="B39" s="7" t="inlineStr">
        <is>
          <t>2023</t>
        </is>
      </c>
      <c r="C39" s="8" t="n">
        <v>45405</v>
      </c>
      <c r="D39" s="7">
        <f>COUNTIFS(Seguimientos!$C$2:$C$1013,A39,Seguimientos!$D$2:$D$1013,B39,Seguimientos!$F$2:$F$1013,C39,Seguimientos!$J$2:$J$1013,1)</f>
        <v/>
      </c>
      <c r="E39" s="7">
        <f>COUNTIFS(Seguimientos!$C$2:$C$1013,A39,Seguimientos!$D$2:$D$1013,B39,Seguimientos!$F$2:$F$1013,C39,Seguimientos!$J$2:$J$1013,1,Seguimientos!$H$2:$H$1013,2)</f>
        <v/>
      </c>
      <c r="F39" s="9">
        <f>IF(D39=0,"",AVERAGEIFS(Seguimientos!$I$2:$I$1013,Seguimientos!$C$2:$C$1013,A39,Seguimientos!$D$2:$D$1013,B39,Seguimientos!$F$2:$F$1013,C39,Seguimientos!$J$2:$J$1013,1))</f>
        <v/>
      </c>
      <c r="G39" s="9">
        <f>IF(D39=0,"",E39/D39)</f>
        <v/>
      </c>
    </row>
    <row r="40">
      <c r="A40" s="7" t="inlineStr">
        <is>
          <t>SGA</t>
        </is>
      </c>
      <c r="B40" s="7" t="inlineStr">
        <is>
          <t>2023</t>
        </is>
      </c>
      <c r="C40" s="8" t="n">
        <v>45497</v>
      </c>
      <c r="D40" s="7">
        <f>COUNTIFS(Seguimientos!$C$2:$C$1013,A40,Seguimientos!$D$2:$D$1013,B40,Seguimientos!$F$2:$F$1013,C40,Seguimientos!$J$2:$J$1013,1)</f>
        <v/>
      </c>
      <c r="E40" s="7">
        <f>COUNTIFS(Seguimientos!$C$2:$C$1013,A40,Seguimientos!$D$2:$D$1013,B40,Seguimientos!$F$2:$F$1013,C40,Seguimientos!$J$2:$J$1013,1,Seguimientos!$H$2:$H$1013,2)</f>
        <v/>
      </c>
      <c r="F40" s="9">
        <f>IF(D40=0,"",AVERAGEIFS(Seguimientos!$I$2:$I$1013,Seguimientos!$C$2:$C$1013,A40,Seguimientos!$D$2:$D$1013,B40,Seguimientos!$F$2:$F$1013,C40,Seguimientos!$J$2:$J$1013,1))</f>
        <v/>
      </c>
      <c r="G40" s="9">
        <f>IF(D40=0,"",E40/D40)</f>
        <v/>
      </c>
    </row>
    <row r="41">
      <c r="A41" s="7" t="inlineStr">
        <is>
          <t>SGA</t>
        </is>
      </c>
      <c r="B41" s="7" t="inlineStr">
        <is>
          <t>2023</t>
        </is>
      </c>
      <c r="C41" s="8" t="n">
        <v>45583</v>
      </c>
      <c r="D41" s="7">
        <f>COUNTIFS(Seguimientos!$C$2:$C$1013,A41,Seguimientos!$D$2:$D$1013,B41,Seguimientos!$F$2:$F$1013,C41,Seguimientos!$J$2:$J$1013,1)</f>
        <v/>
      </c>
      <c r="E41" s="7">
        <f>COUNTIFS(Seguimientos!$C$2:$C$1013,A41,Seguimientos!$D$2:$D$1013,B41,Seguimientos!$F$2:$F$1013,C41,Seguimientos!$J$2:$J$1013,1,Seguimientos!$H$2:$H$1013,2)</f>
        <v/>
      </c>
      <c r="F41" s="9">
        <f>IF(D41=0,"",AVERAGEIFS(Seguimientos!$I$2:$I$1013,Seguimientos!$C$2:$C$1013,A41,Seguimientos!$D$2:$D$1013,B41,Seguimientos!$F$2:$F$1013,C41,Seguimientos!$J$2:$J$1013,1))</f>
        <v/>
      </c>
      <c r="G41" s="9">
        <f>IF(D41=0,"",E41/D41)</f>
        <v/>
      </c>
    </row>
    <row r="42">
      <c r="A42" s="7" t="inlineStr">
        <is>
          <t>SGA</t>
        </is>
      </c>
      <c r="B42" s="7" t="inlineStr">
        <is>
          <t>2023</t>
        </is>
      </c>
      <c r="C42" s="8" t="n">
        <v>45777</v>
      </c>
      <c r="D42" s="7">
        <f>COUNTIFS(Seguimientos!$C$2:$C$1013,A42,Seguimientos!$D$2:$D$1013,B42,Seguimientos!$F$2:$F$1013,C42,Seguimientos!$J$2:$J$1013,1)</f>
        <v/>
      </c>
      <c r="E42" s="7">
        <f>COUNTIFS(Seguimientos!$C$2:$C$1013,A42,Seguimientos!$D$2:$D$1013,B42,Seguimientos!$F$2:$F$1013,C42,Seguimientos!$J$2:$J$1013,1,Seguimientos!$H$2:$H$1013,2)</f>
        <v/>
      </c>
      <c r="F42" s="9">
        <f>IF(D42=0,"",AVERAGEIFS(Seguimientos!$I$2:$I$1013,Seguimientos!$C$2:$C$1013,A42,Seguimientos!$D$2:$D$1013,B42,Seguimientos!$F$2:$F$1013,C42,Seguimientos!$J$2:$J$1013,1))</f>
        <v/>
      </c>
      <c r="G42" s="9">
        <f>IF(D42=0,"",E42/D42)</f>
        <v/>
      </c>
    </row>
    <row r="43">
      <c r="A43" s="7" t="inlineStr">
        <is>
          <t>SGA</t>
        </is>
      </c>
      <c r="B43" s="7" t="inlineStr">
        <is>
          <t>2023</t>
        </is>
      </c>
      <c r="C43" s="8" t="n">
        <v>45838</v>
      </c>
      <c r="D43" s="7">
        <f>COUNTIFS(Seguimientos!$C$2:$C$1013,A43,Seguimientos!$D$2:$D$1013,B43,Seguimientos!$F$2:$F$1013,C43,Seguimientos!$J$2:$J$1013,1)</f>
        <v/>
      </c>
      <c r="E43" s="7">
        <f>COUNTIFS(Seguimientos!$C$2:$C$1013,A43,Seguimientos!$D$2:$D$1013,B43,Seguimientos!$F$2:$F$1013,C43,Seguimientos!$J$2:$J$1013,1,Seguimientos!$H$2:$H$1013,2)</f>
        <v/>
      </c>
      <c r="F43" s="9">
        <f>IF(D43=0,"",AVERAGEIFS(Seguimientos!$I$2:$I$1013,Seguimientos!$C$2:$C$1013,A43,Seguimientos!$D$2:$D$1013,B43,Seguimientos!$F$2:$F$1013,C43,Seguimientos!$J$2:$J$1013,1))</f>
        <v/>
      </c>
      <c r="G43" s="9">
        <f>IF(D43=0,"",E43/D43)</f>
        <v/>
      </c>
    </row>
    <row r="44">
      <c r="A44" s="7" t="inlineStr">
        <is>
          <t>SGA</t>
        </is>
      </c>
      <c r="B44" s="7" t="inlineStr">
        <is>
          <t>2023</t>
        </is>
      </c>
      <c r="C44" s="8" t="n">
        <v>45930</v>
      </c>
      <c r="D44" s="7">
        <f>COUNTIFS(Seguimientos!$C$2:$C$1013,A44,Seguimientos!$D$2:$D$1013,B44,Seguimientos!$F$2:$F$1013,C44,Seguimientos!$J$2:$J$1013,1)</f>
        <v/>
      </c>
      <c r="E44" s="7">
        <f>COUNTIFS(Seguimientos!$C$2:$C$1013,A44,Seguimientos!$D$2:$D$1013,B44,Seguimientos!$F$2:$F$1013,C44,Seguimientos!$J$2:$J$1013,1,Seguimientos!$H$2:$H$1013,2)</f>
        <v/>
      </c>
      <c r="F44" s="9">
        <f>IF(D44=0,"",AVERAGEIFS(Seguimientos!$I$2:$I$1013,Seguimientos!$C$2:$C$1013,A44,Seguimientos!$D$2:$D$1013,B44,Seguimientos!$F$2:$F$1013,C44,Seguimientos!$J$2:$J$1013,1))</f>
        <v/>
      </c>
      <c r="G44" s="9">
        <f>IF(D44=0,"",E44/D44)</f>
        <v/>
      </c>
    </row>
    <row r="45">
      <c r="A45" s="7" t="inlineStr">
        <is>
          <t>SGA</t>
        </is>
      </c>
      <c r="B45" s="7" t="inlineStr">
        <is>
          <t>2024</t>
        </is>
      </c>
      <c r="C45" s="8" t="n">
        <v>45777</v>
      </c>
      <c r="D45" s="7">
        <f>COUNTIFS(Seguimientos!$C$2:$C$1013,A45,Seguimientos!$D$2:$D$1013,B45,Seguimientos!$F$2:$F$1013,C45,Seguimientos!$J$2:$J$1013,1)</f>
        <v/>
      </c>
      <c r="E45" s="7">
        <f>COUNTIFS(Seguimientos!$C$2:$C$1013,A45,Seguimientos!$D$2:$D$1013,B45,Seguimientos!$F$2:$F$1013,C45,Seguimientos!$J$2:$J$1013,1,Seguimientos!$H$2:$H$1013,2)</f>
        <v/>
      </c>
      <c r="F45" s="9">
        <f>IF(D45=0,"",AVERAGEIFS(Seguimientos!$I$2:$I$1013,Seguimientos!$C$2:$C$1013,A45,Seguimientos!$D$2:$D$1013,B45,Seguimientos!$F$2:$F$1013,C45,Seguimientos!$J$2:$J$1013,1))</f>
        <v/>
      </c>
      <c r="G45" s="9">
        <f>IF(D45=0,"",E45/D45)</f>
        <v/>
      </c>
    </row>
    <row r="46">
      <c r="A46" s="7" t="inlineStr">
        <is>
          <t>SGA</t>
        </is>
      </c>
      <c r="B46" s="7" t="inlineStr">
        <is>
          <t>2024</t>
        </is>
      </c>
      <c r="C46" s="8" t="n">
        <v>45838</v>
      </c>
      <c r="D46" s="7">
        <f>COUNTIFS(Seguimientos!$C$2:$C$1013,A46,Seguimientos!$D$2:$D$1013,B46,Seguimientos!$F$2:$F$1013,C46,Seguimientos!$J$2:$J$1013,1)</f>
        <v/>
      </c>
      <c r="E46" s="7">
        <f>COUNTIFS(Seguimientos!$C$2:$C$1013,A46,Seguimientos!$D$2:$D$1013,B46,Seguimientos!$F$2:$F$1013,C46,Seguimientos!$J$2:$J$1013,1,Seguimientos!$H$2:$H$1013,2)</f>
        <v/>
      </c>
      <c r="F46" s="9">
        <f>IF(D46=0,"",AVERAGEIFS(Seguimientos!$I$2:$I$1013,Seguimientos!$C$2:$C$1013,A46,Seguimientos!$D$2:$D$1013,B46,Seguimientos!$F$2:$F$1013,C46,Seguimientos!$J$2:$J$1013,1))</f>
        <v/>
      </c>
      <c r="G46" s="9">
        <f>IF(D46=0,"",E46/D46)</f>
        <v/>
      </c>
    </row>
    <row r="47">
      <c r="A47" s="7" t="inlineStr">
        <is>
          <t>SGA</t>
        </is>
      </c>
      <c r="B47" s="7" t="inlineStr">
        <is>
          <t>2024</t>
        </is>
      </c>
      <c r="C47" s="8" t="n">
        <v>45930</v>
      </c>
      <c r="D47" s="7">
        <f>COUNTIFS(Seguimientos!$C$2:$C$1013,A47,Seguimientos!$D$2:$D$1013,B47,Seguimientos!$F$2:$F$1013,C47,Seguimientos!$J$2:$J$1013,1)</f>
        <v/>
      </c>
      <c r="E47" s="7">
        <f>COUNTIFS(Seguimientos!$C$2:$C$1013,A47,Seguimientos!$D$2:$D$1013,B47,Seguimientos!$F$2:$F$1013,C47,Seguimientos!$J$2:$J$1013,1,Seguimientos!$H$2:$H$1013,2)</f>
        <v/>
      </c>
      <c r="F47" s="9">
        <f>IF(D47=0,"",AVERAGEIFS(Seguimientos!$I$2:$I$1013,Seguimientos!$C$2:$C$1013,A47,Seguimientos!$D$2:$D$1013,B47,Seguimientos!$F$2:$F$1013,C47,Seguimientos!$J$2:$J$1013,1))</f>
        <v/>
      </c>
      <c r="G47" s="9">
        <f>IF(D47=0,"",E47/D47)</f>
        <v/>
      </c>
    </row>
    <row r="48">
      <c r="A48" s="7" t="inlineStr">
        <is>
          <t>SGA</t>
        </is>
      </c>
      <c r="B48" s="7" t="inlineStr">
        <is>
          <t>2024</t>
        </is>
      </c>
      <c r="C48" s="8" t="n">
        <v>46021</v>
      </c>
      <c r="D48" s="7">
        <f>COUNTIFS(Seguimientos!$C$2:$C$1013,A48,Seguimientos!$D$2:$D$1013,B48,Seguimientos!$F$2:$F$1013,C48,Seguimientos!$J$2:$J$1013,1)</f>
        <v/>
      </c>
      <c r="E48" s="7">
        <f>COUNTIFS(Seguimientos!$C$2:$C$1013,A48,Seguimientos!$D$2:$D$1013,B48,Seguimientos!$F$2:$F$1013,C48,Seguimientos!$J$2:$J$1013,1,Seguimientos!$H$2:$H$1013,2)</f>
        <v/>
      </c>
      <c r="F48" s="9">
        <f>IF(D48=0,"",AVERAGEIFS(Seguimientos!$I$2:$I$1013,Seguimientos!$C$2:$C$1013,A48,Seguimientos!$D$2:$D$1013,B48,Seguimientos!$F$2:$F$1013,C48,Seguimientos!$J$2:$J$1013,1))</f>
        <v/>
      </c>
      <c r="G48" s="9">
        <f>IF(D48=0,"",E48/D48)</f>
        <v/>
      </c>
    </row>
    <row r="49">
      <c r="A49" s="7" t="inlineStr">
        <is>
          <t>SGA</t>
        </is>
      </c>
      <c r="B49" s="7" t="inlineStr">
        <is>
          <t>2024</t>
        </is>
      </c>
      <c r="C49" s="8" t="n">
        <v>46203</v>
      </c>
      <c r="D49" s="7">
        <f>COUNTIFS(Seguimientos!$C$2:$C$1013,A49,Seguimientos!$D$2:$D$1013,B49,Seguimientos!$F$2:$F$1013,C49,Seguimientos!$J$2:$J$1013,1)</f>
        <v/>
      </c>
      <c r="E49" s="7">
        <f>COUNTIFS(Seguimientos!$C$2:$C$1013,A49,Seguimientos!$D$2:$D$1013,B49,Seguimientos!$F$2:$F$1013,C49,Seguimientos!$J$2:$J$1013,1,Seguimientos!$H$2:$H$1013,2)</f>
        <v/>
      </c>
      <c r="F49" s="9">
        <f>IF(D49=0,"",AVERAGEIFS(Seguimientos!$I$2:$I$1013,Seguimientos!$C$2:$C$1013,A49,Seguimientos!$D$2:$D$1013,B49,Seguimientos!$F$2:$F$1013,C49,Seguimientos!$J$2:$J$1013,1))</f>
        <v/>
      </c>
      <c r="G49" s="9">
        <f>IF(D49=0,"",E49/D49)</f>
        <v/>
      </c>
    </row>
    <row r="50">
      <c r="A50" s="7" t="inlineStr">
        <is>
          <t>SGA</t>
        </is>
      </c>
      <c r="B50" s="7" t="inlineStr">
        <is>
          <t>2025</t>
        </is>
      </c>
      <c r="C50" s="8" t="n">
        <v>46203</v>
      </c>
      <c r="D50" s="7">
        <f>COUNTIFS(Seguimientos!$C$2:$C$1013,A50,Seguimientos!$D$2:$D$1013,B50,Seguimientos!$F$2:$F$1013,C50,Seguimientos!$J$2:$J$1013,1)</f>
        <v/>
      </c>
      <c r="E50" s="7">
        <f>COUNTIFS(Seguimientos!$C$2:$C$1013,A50,Seguimientos!$D$2:$D$1013,B50,Seguimientos!$F$2:$F$1013,C50,Seguimientos!$J$2:$J$1013,1,Seguimientos!$H$2:$H$1013,2)</f>
        <v/>
      </c>
      <c r="F50" s="9">
        <f>IF(D50=0,"",AVERAGEIFS(Seguimientos!$I$2:$I$1013,Seguimientos!$C$2:$C$1013,A50,Seguimientos!$D$2:$D$1013,B50,Seguimientos!$F$2:$F$1013,C50,Seguimientos!$J$2:$J$1013,1))</f>
        <v/>
      </c>
      <c r="G50" s="9">
        <f>IF(D50=0,"",E50/D50)</f>
        <v/>
      </c>
    </row>
    <row r="51">
      <c r="A51" s="7" t="inlineStr">
        <is>
          <t>SGA</t>
        </is>
      </c>
      <c r="B51" s="7" t="inlineStr">
        <is>
          <t>2025</t>
        </is>
      </c>
      <c r="C51" s="8" t="n">
        <v>46295</v>
      </c>
      <c r="D51" s="7">
        <f>COUNTIFS(Seguimientos!$C$2:$C$1013,A51,Seguimientos!$D$2:$D$1013,B51,Seguimientos!$F$2:$F$1013,C51,Seguimientos!$J$2:$J$1013,1)</f>
        <v/>
      </c>
      <c r="E51" s="7">
        <f>COUNTIFS(Seguimientos!$C$2:$C$1013,A51,Seguimientos!$D$2:$D$1013,B51,Seguimientos!$F$2:$F$1013,C51,Seguimientos!$J$2:$J$1013,1,Seguimientos!$H$2:$H$1013,2)</f>
        <v/>
      </c>
      <c r="F51" s="9">
        <f>IF(D51=0,"",AVERAGEIFS(Seguimientos!$I$2:$I$1013,Seguimientos!$C$2:$C$1013,A51,Seguimientos!$D$2:$D$1013,B51,Seguimientos!$F$2:$F$1013,C51,Seguimientos!$J$2:$J$1013,1))</f>
        <v/>
      </c>
      <c r="G51" s="9">
        <f>IF(D51=0,"",E51/D51)</f>
        <v/>
      </c>
    </row>
    <row r="52">
      <c r="A52" s="7" t="inlineStr">
        <is>
          <t>SG-SST</t>
        </is>
      </c>
      <c r="B52" s="7" t="inlineStr">
        <is>
          <t>2023</t>
        </is>
      </c>
      <c r="C52" s="8" t="n">
        <v>45405</v>
      </c>
      <c r="D52" s="7">
        <f>COUNTIFS(Seguimientos!$C$2:$C$1013,A52,Seguimientos!$D$2:$D$1013,B52,Seguimientos!$F$2:$F$1013,C52,Seguimientos!$J$2:$J$1013,1)</f>
        <v/>
      </c>
      <c r="E52" s="7">
        <f>COUNTIFS(Seguimientos!$C$2:$C$1013,A52,Seguimientos!$D$2:$D$1013,B52,Seguimientos!$F$2:$F$1013,C52,Seguimientos!$J$2:$J$1013,1,Seguimientos!$H$2:$H$1013,2)</f>
        <v/>
      </c>
      <c r="F52" s="9">
        <f>IF(D52=0,"",AVERAGEIFS(Seguimientos!$I$2:$I$1013,Seguimientos!$C$2:$C$1013,A52,Seguimientos!$D$2:$D$1013,B52,Seguimientos!$F$2:$F$1013,C52,Seguimientos!$J$2:$J$1013,1))</f>
        <v/>
      </c>
      <c r="G52" s="9">
        <f>IF(D52=0,"",E52/D52)</f>
        <v/>
      </c>
    </row>
    <row r="53">
      <c r="A53" s="7" t="inlineStr">
        <is>
          <t>SG-SST</t>
        </is>
      </c>
      <c r="B53" s="7" t="inlineStr">
        <is>
          <t>2023</t>
        </is>
      </c>
      <c r="C53" s="8" t="n">
        <v>45497</v>
      </c>
      <c r="D53" s="7">
        <f>COUNTIFS(Seguimientos!$C$2:$C$1013,A53,Seguimientos!$D$2:$D$1013,B53,Seguimientos!$F$2:$F$1013,C53,Seguimientos!$J$2:$J$1013,1)</f>
        <v/>
      </c>
      <c r="E53" s="7">
        <f>COUNTIFS(Seguimientos!$C$2:$C$1013,A53,Seguimientos!$D$2:$D$1013,B53,Seguimientos!$F$2:$F$1013,C53,Seguimientos!$J$2:$J$1013,1,Seguimientos!$H$2:$H$1013,2)</f>
        <v/>
      </c>
      <c r="F53" s="9">
        <f>IF(D53=0,"",AVERAGEIFS(Seguimientos!$I$2:$I$1013,Seguimientos!$C$2:$C$1013,A53,Seguimientos!$D$2:$D$1013,B53,Seguimientos!$F$2:$F$1013,C53,Seguimientos!$J$2:$J$1013,1))</f>
        <v/>
      </c>
      <c r="G53" s="9">
        <f>IF(D53=0,"",E53/D53)</f>
        <v/>
      </c>
    </row>
    <row r="54">
      <c r="A54" s="7" t="inlineStr">
        <is>
          <t>SG-SST</t>
        </is>
      </c>
      <c r="B54" s="7" t="inlineStr">
        <is>
          <t>2023</t>
        </is>
      </c>
      <c r="C54" s="8" t="n">
        <v>45583</v>
      </c>
      <c r="D54" s="7">
        <f>COUNTIFS(Seguimientos!$C$2:$C$1013,A54,Seguimientos!$D$2:$D$1013,B54,Seguimientos!$F$2:$F$1013,C54,Seguimientos!$J$2:$J$1013,1)</f>
        <v/>
      </c>
      <c r="E54" s="7">
        <f>COUNTIFS(Seguimientos!$C$2:$C$1013,A54,Seguimientos!$D$2:$D$1013,B54,Seguimientos!$F$2:$F$1013,C54,Seguimientos!$J$2:$J$1013,1,Seguimientos!$H$2:$H$1013,2)</f>
        <v/>
      </c>
      <c r="F54" s="9">
        <f>IF(D54=0,"",AVERAGEIFS(Seguimientos!$I$2:$I$1013,Seguimientos!$C$2:$C$1013,A54,Seguimientos!$D$2:$D$1013,B54,Seguimientos!$F$2:$F$1013,C54,Seguimientos!$J$2:$J$1013,1))</f>
        <v/>
      </c>
      <c r="G54" s="9">
        <f>IF(D54=0,"",E54/D54)</f>
        <v/>
      </c>
    </row>
    <row r="55">
      <c r="A55" s="7" t="inlineStr">
        <is>
          <t>SG-SST</t>
        </is>
      </c>
      <c r="B55" s="7" t="inlineStr">
        <is>
          <t>2023</t>
        </is>
      </c>
      <c r="C55" s="8" t="n">
        <v>45777</v>
      </c>
      <c r="D55" s="7">
        <f>COUNTIFS(Seguimientos!$C$2:$C$1013,A55,Seguimientos!$D$2:$D$1013,B55,Seguimientos!$F$2:$F$1013,C55,Seguimientos!$J$2:$J$1013,1)</f>
        <v/>
      </c>
      <c r="E55" s="7">
        <f>COUNTIFS(Seguimientos!$C$2:$C$1013,A55,Seguimientos!$D$2:$D$1013,B55,Seguimientos!$F$2:$F$1013,C55,Seguimientos!$J$2:$J$1013,1,Seguimientos!$H$2:$H$1013,2)</f>
        <v/>
      </c>
      <c r="F55" s="9">
        <f>IF(D55=0,"",AVERAGEIFS(Seguimientos!$I$2:$I$1013,Seguimientos!$C$2:$C$1013,A55,Seguimientos!$D$2:$D$1013,B55,Seguimientos!$F$2:$F$1013,C55,Seguimientos!$J$2:$J$1013,1))</f>
        <v/>
      </c>
      <c r="G55" s="9">
        <f>IF(D55=0,"",E55/D55)</f>
        <v/>
      </c>
    </row>
    <row r="56">
      <c r="A56" s="7" t="inlineStr">
        <is>
          <t>SG-SST</t>
        </is>
      </c>
      <c r="B56" s="7" t="inlineStr">
        <is>
          <t>2023</t>
        </is>
      </c>
      <c r="C56" s="8" t="n">
        <v>45930</v>
      </c>
      <c r="D56" s="7">
        <f>COUNTIFS(Seguimientos!$C$2:$C$1013,A56,Seguimientos!$D$2:$D$1013,B56,Seguimientos!$F$2:$F$1013,C56,Seguimientos!$J$2:$J$1013,1)</f>
        <v/>
      </c>
      <c r="E56" s="7">
        <f>COUNTIFS(Seguimientos!$C$2:$C$1013,A56,Seguimientos!$D$2:$D$1013,B56,Seguimientos!$F$2:$F$1013,C56,Seguimientos!$J$2:$J$1013,1,Seguimientos!$H$2:$H$1013,2)</f>
        <v/>
      </c>
      <c r="F56" s="9">
        <f>IF(D56=0,"",AVERAGEIFS(Seguimientos!$I$2:$I$1013,Seguimientos!$C$2:$C$1013,A56,Seguimientos!$D$2:$D$1013,B56,Seguimientos!$F$2:$F$1013,C56,Seguimientos!$J$2:$J$1013,1))</f>
        <v/>
      </c>
      <c r="G56" s="9">
        <f>IF(D56=0,"",E56/D56)</f>
        <v/>
      </c>
    </row>
    <row r="57">
      <c r="A57" s="7" t="inlineStr">
        <is>
          <t>SG-SST</t>
        </is>
      </c>
      <c r="B57" s="7" t="inlineStr">
        <is>
          <t>2023</t>
        </is>
      </c>
      <c r="C57" s="8" t="n">
        <v>46142</v>
      </c>
      <c r="D57" s="7">
        <f>COUNTIFS(Seguimientos!$C$2:$C$1013,A57,Seguimientos!$D$2:$D$1013,B57,Seguimientos!$F$2:$F$1013,C57,Seguimientos!$J$2:$J$1013,1)</f>
        <v/>
      </c>
      <c r="E57" s="7">
        <f>COUNTIFS(Seguimientos!$C$2:$C$1013,A57,Seguimientos!$D$2:$D$1013,B57,Seguimientos!$F$2:$F$1013,C57,Seguimientos!$J$2:$J$1013,1,Seguimientos!$H$2:$H$1013,2)</f>
        <v/>
      </c>
      <c r="F57" s="9">
        <f>IF(D57=0,"",AVERAGEIFS(Seguimientos!$I$2:$I$1013,Seguimientos!$C$2:$C$1013,A57,Seguimientos!$D$2:$D$1013,B57,Seguimientos!$F$2:$F$1013,C57,Seguimientos!$J$2:$J$1013,1))</f>
        <v/>
      </c>
      <c r="G57" s="9">
        <f>IF(D57=0,"",E57/D57)</f>
        <v/>
      </c>
    </row>
    <row r="58">
      <c r="A58" s="7" t="inlineStr">
        <is>
          <t>SG-SST</t>
        </is>
      </c>
      <c r="B58" s="7" t="inlineStr">
        <is>
          <t>2024</t>
        </is>
      </c>
      <c r="C58" s="8" t="n">
        <v>45777</v>
      </c>
      <c r="D58" s="7">
        <f>COUNTIFS(Seguimientos!$C$2:$C$1013,A58,Seguimientos!$D$2:$D$1013,B58,Seguimientos!$F$2:$F$1013,C58,Seguimientos!$J$2:$J$1013,1)</f>
        <v/>
      </c>
      <c r="E58" s="7">
        <f>COUNTIFS(Seguimientos!$C$2:$C$1013,A58,Seguimientos!$D$2:$D$1013,B58,Seguimientos!$F$2:$F$1013,C58,Seguimientos!$J$2:$J$1013,1,Seguimientos!$H$2:$H$1013,2)</f>
        <v/>
      </c>
      <c r="F58" s="9">
        <f>IF(D58=0,"",AVERAGEIFS(Seguimientos!$I$2:$I$1013,Seguimientos!$C$2:$C$1013,A58,Seguimientos!$D$2:$D$1013,B58,Seguimientos!$F$2:$F$1013,C58,Seguimientos!$J$2:$J$1013,1))</f>
        <v/>
      </c>
      <c r="G58" s="9">
        <f>IF(D58=0,"",E58/D58)</f>
        <v/>
      </c>
    </row>
    <row r="59">
      <c r="A59" s="7" t="inlineStr">
        <is>
          <t>SG-SST</t>
        </is>
      </c>
      <c r="B59" s="7" t="inlineStr">
        <is>
          <t>2024</t>
        </is>
      </c>
      <c r="C59" s="8" t="n">
        <v>45838</v>
      </c>
      <c r="D59" s="7">
        <f>COUNTIFS(Seguimientos!$C$2:$C$1013,A59,Seguimientos!$D$2:$D$1013,B59,Seguimientos!$F$2:$F$1013,C59,Seguimientos!$J$2:$J$1013,1)</f>
        <v/>
      </c>
      <c r="E59" s="7">
        <f>COUNTIFS(Seguimientos!$C$2:$C$1013,A59,Seguimientos!$D$2:$D$1013,B59,Seguimientos!$F$2:$F$1013,C59,Seguimientos!$J$2:$J$1013,1,Seguimientos!$H$2:$H$1013,2)</f>
        <v/>
      </c>
      <c r="F59" s="9">
        <f>IF(D59=0,"",AVERAGEIFS(Seguimientos!$I$2:$I$1013,Seguimientos!$C$2:$C$1013,A59,Seguimientos!$D$2:$D$1013,B59,Seguimientos!$F$2:$F$1013,C59,Seguimientos!$J$2:$J$1013,1))</f>
        <v/>
      </c>
      <c r="G59" s="9">
        <f>IF(D59=0,"",E59/D59)</f>
        <v/>
      </c>
    </row>
    <row r="60">
      <c r="A60" s="7" t="inlineStr">
        <is>
          <t>SG-SST</t>
        </is>
      </c>
      <c r="B60" s="7" t="inlineStr">
        <is>
          <t>2024</t>
        </is>
      </c>
      <c r="C60" s="8" t="n">
        <v>45930</v>
      </c>
      <c r="D60" s="7">
        <f>COUNTIFS(Seguimientos!$C$2:$C$1013,A60,Seguimientos!$D$2:$D$1013,B60,Seguimientos!$F$2:$F$1013,C60,Seguimientos!$J$2:$J$1013,1)</f>
        <v/>
      </c>
      <c r="E60" s="7">
        <f>COUNTIFS(Seguimientos!$C$2:$C$1013,A60,Seguimientos!$D$2:$D$1013,B60,Seguimientos!$F$2:$F$1013,C60,Seguimientos!$J$2:$J$1013,1,Seguimientos!$H$2:$H$1013,2)</f>
        <v/>
      </c>
      <c r="F60" s="9">
        <f>IF(D60=0,"",AVERAGEIFS(Seguimientos!$I$2:$I$1013,Seguimientos!$C$2:$C$1013,A60,Seguimientos!$D$2:$D$1013,B60,Seguimientos!$F$2:$F$1013,C60,Seguimientos!$J$2:$J$1013,1))</f>
        <v/>
      </c>
      <c r="G60" s="9">
        <f>IF(D60=0,"",E60/D60)</f>
        <v/>
      </c>
    </row>
    <row r="61">
      <c r="A61" s="7" t="inlineStr">
        <is>
          <t>SG-SST</t>
        </is>
      </c>
      <c r="B61" s="7" t="inlineStr">
        <is>
          <t>2024</t>
        </is>
      </c>
      <c r="C61" s="8" t="n">
        <v>46142</v>
      </c>
      <c r="D61" s="7">
        <f>COUNTIFS(Seguimientos!$C$2:$C$1013,A61,Seguimientos!$D$2:$D$1013,B61,Seguimientos!$F$2:$F$1013,C61,Seguimientos!$J$2:$J$1013,1)</f>
        <v/>
      </c>
      <c r="E61" s="7">
        <f>COUNTIFS(Seguimientos!$C$2:$C$1013,A61,Seguimientos!$D$2:$D$1013,B61,Seguimientos!$F$2:$F$1013,C61,Seguimientos!$J$2:$J$1013,1,Seguimientos!$H$2:$H$1013,2)</f>
        <v/>
      </c>
      <c r="F61" s="9">
        <f>IF(D61=0,"",AVERAGEIFS(Seguimientos!$I$2:$I$1013,Seguimientos!$C$2:$C$1013,A61,Seguimientos!$D$2:$D$1013,B61,Seguimientos!$F$2:$F$1013,C61,Seguimientos!$J$2:$J$1013,1))</f>
        <v/>
      </c>
      <c r="G61" s="9">
        <f>IF(D61=0,"",E61/D61)</f>
        <v/>
      </c>
    </row>
    <row r="62">
      <c r="A62" s="7" t="inlineStr">
        <is>
          <t>SG-SST</t>
        </is>
      </c>
      <c r="B62" s="7" t="inlineStr">
        <is>
          <t>2024</t>
        </is>
      </c>
      <c r="C62" s="8" t="n">
        <v>46203</v>
      </c>
      <c r="D62" s="7">
        <f>COUNTIFS(Seguimientos!$C$2:$C$1013,A62,Seguimientos!$D$2:$D$1013,B62,Seguimientos!$F$2:$F$1013,C62,Seguimientos!$J$2:$J$1013,1)</f>
        <v/>
      </c>
      <c r="E62" s="7">
        <f>COUNTIFS(Seguimientos!$C$2:$C$1013,A62,Seguimientos!$D$2:$D$1013,B62,Seguimientos!$F$2:$F$1013,C62,Seguimientos!$J$2:$J$1013,1,Seguimientos!$H$2:$H$1013,2)</f>
        <v/>
      </c>
      <c r="F62" s="9">
        <f>IF(D62=0,"",AVERAGEIFS(Seguimientos!$I$2:$I$1013,Seguimientos!$C$2:$C$1013,A62,Seguimientos!$D$2:$D$1013,B62,Seguimientos!$F$2:$F$1013,C62,Seguimientos!$J$2:$J$1013,1))</f>
        <v/>
      </c>
      <c r="G62" s="9">
        <f>IF(D62=0,"",E62/D62)</f>
        <v/>
      </c>
    </row>
    <row r="63">
      <c r="A63" s="7" t="inlineStr">
        <is>
          <t>SG-SST</t>
        </is>
      </c>
      <c r="B63" s="7" t="inlineStr">
        <is>
          <t>2025</t>
        </is>
      </c>
      <c r="C63" s="8" t="n">
        <v>46142</v>
      </c>
      <c r="D63" s="7">
        <f>COUNTIFS(Seguimientos!$C$2:$C$1013,A63,Seguimientos!$D$2:$D$1013,B63,Seguimientos!$F$2:$F$1013,C63,Seguimientos!$J$2:$J$1013,1)</f>
        <v/>
      </c>
      <c r="E63" s="7">
        <f>COUNTIFS(Seguimientos!$C$2:$C$1013,A63,Seguimientos!$D$2:$D$1013,B63,Seguimientos!$F$2:$F$1013,C63,Seguimientos!$J$2:$J$1013,1,Seguimientos!$H$2:$H$1013,2)</f>
        <v/>
      </c>
      <c r="F63" s="9">
        <f>IF(D63=0,"",AVERAGEIFS(Seguimientos!$I$2:$I$1013,Seguimientos!$C$2:$C$1013,A63,Seguimientos!$D$2:$D$1013,B63,Seguimientos!$F$2:$F$1013,C63,Seguimientos!$J$2:$J$1013,1))</f>
        <v/>
      </c>
      <c r="G63" s="9">
        <f>IF(D63=0,"",E63/D63)</f>
        <v/>
      </c>
    </row>
    <row r="64">
      <c r="A64" s="7" t="inlineStr">
        <is>
          <t>SG-SST</t>
        </is>
      </c>
      <c r="B64" s="7" t="inlineStr">
        <is>
          <t>2025</t>
        </is>
      </c>
      <c r="C64" s="8" t="n">
        <v>46295</v>
      </c>
      <c r="D64" s="7">
        <f>COUNTIFS(Seguimientos!$C$2:$C$1013,A64,Seguimientos!$D$2:$D$1013,B64,Seguimientos!$F$2:$F$1013,C64,Seguimientos!$J$2:$J$1013,1)</f>
        <v/>
      </c>
      <c r="E64" s="7">
        <f>COUNTIFS(Seguimientos!$C$2:$C$1013,A64,Seguimientos!$D$2:$D$1013,B64,Seguimientos!$F$2:$F$1013,C64,Seguimientos!$J$2:$J$1013,1,Seguimientos!$H$2:$H$1013,2)</f>
        <v/>
      </c>
      <c r="F64" s="9">
        <f>IF(D64=0,"",AVERAGEIFS(Seguimientos!$I$2:$I$1013,Seguimientos!$C$2:$C$1013,A64,Seguimientos!$D$2:$D$1013,B64,Seguimientos!$F$2:$F$1013,C64,Seguimientos!$J$2:$J$1013,1))</f>
        <v/>
      </c>
      <c r="G64" s="9">
        <f>IF(D64=0,"",E64/D64)</f>
        <v/>
      </c>
    </row>
    <row r="65">
      <c r="A65" s="7" t="inlineStr">
        <is>
          <t>SGSI</t>
        </is>
      </c>
      <c r="B65" s="7" t="inlineStr">
        <is>
          <t>2023</t>
        </is>
      </c>
      <c r="C65" s="8" t="n">
        <v>45405</v>
      </c>
      <c r="D65" s="7">
        <f>COUNTIFS(Seguimientos!$C$2:$C$1013,A65,Seguimientos!$D$2:$D$1013,B65,Seguimientos!$F$2:$F$1013,C65,Seguimientos!$J$2:$J$1013,1)</f>
        <v/>
      </c>
      <c r="E65" s="7">
        <f>COUNTIFS(Seguimientos!$C$2:$C$1013,A65,Seguimientos!$D$2:$D$1013,B65,Seguimientos!$F$2:$F$1013,C65,Seguimientos!$J$2:$J$1013,1,Seguimientos!$H$2:$H$1013,2)</f>
        <v/>
      </c>
      <c r="F65" s="9">
        <f>IF(D65=0,"",AVERAGEIFS(Seguimientos!$I$2:$I$1013,Seguimientos!$C$2:$C$1013,A65,Seguimientos!$D$2:$D$1013,B65,Seguimientos!$F$2:$F$1013,C65,Seguimientos!$J$2:$J$1013,1))</f>
        <v/>
      </c>
      <c r="G65" s="9">
        <f>IF(D65=0,"",E65/D65)</f>
        <v/>
      </c>
    </row>
    <row r="66">
      <c r="A66" s="7" t="inlineStr">
        <is>
          <t>SGSI</t>
        </is>
      </c>
      <c r="B66" s="7" t="inlineStr">
        <is>
          <t>2023</t>
        </is>
      </c>
      <c r="C66" s="8" t="n">
        <v>45497</v>
      </c>
      <c r="D66" s="7">
        <f>COUNTIFS(Seguimientos!$C$2:$C$1013,A66,Seguimientos!$D$2:$D$1013,B66,Seguimientos!$F$2:$F$1013,C66,Seguimientos!$J$2:$J$1013,1)</f>
        <v/>
      </c>
      <c r="E66" s="7">
        <f>COUNTIFS(Seguimientos!$C$2:$C$1013,A66,Seguimientos!$D$2:$D$1013,B66,Seguimientos!$F$2:$F$1013,C66,Seguimientos!$J$2:$J$1013,1,Seguimientos!$H$2:$H$1013,2)</f>
        <v/>
      </c>
      <c r="F66" s="9">
        <f>IF(D66=0,"",AVERAGEIFS(Seguimientos!$I$2:$I$1013,Seguimientos!$C$2:$C$1013,A66,Seguimientos!$D$2:$D$1013,B66,Seguimientos!$F$2:$F$1013,C66,Seguimientos!$J$2:$J$1013,1))</f>
        <v/>
      </c>
      <c r="G66" s="9">
        <f>IF(D66=0,"",E66/D66)</f>
        <v/>
      </c>
    </row>
    <row r="67">
      <c r="A67" s="7" t="inlineStr">
        <is>
          <t>SGSI</t>
        </is>
      </c>
      <c r="B67" s="7" t="inlineStr">
        <is>
          <t>2023</t>
        </is>
      </c>
      <c r="C67" s="8" t="n">
        <v>45583</v>
      </c>
      <c r="D67" s="7">
        <f>COUNTIFS(Seguimientos!$C$2:$C$1013,A67,Seguimientos!$D$2:$D$1013,B67,Seguimientos!$F$2:$F$1013,C67,Seguimientos!$J$2:$J$1013,1)</f>
        <v/>
      </c>
      <c r="E67" s="7">
        <f>COUNTIFS(Seguimientos!$C$2:$C$1013,A67,Seguimientos!$D$2:$D$1013,B67,Seguimientos!$F$2:$F$1013,C67,Seguimientos!$J$2:$J$1013,1,Seguimientos!$H$2:$H$1013,2)</f>
        <v/>
      </c>
      <c r="F67" s="9">
        <f>IF(D67=0,"",AVERAGEIFS(Seguimientos!$I$2:$I$1013,Seguimientos!$C$2:$C$1013,A67,Seguimientos!$D$2:$D$1013,B67,Seguimientos!$F$2:$F$1013,C67,Seguimientos!$J$2:$J$1013,1))</f>
        <v/>
      </c>
      <c r="G67" s="9">
        <f>IF(D67=0,"",E67/D67)</f>
        <v/>
      </c>
    </row>
    <row r="68">
      <c r="A68" s="7" t="inlineStr">
        <is>
          <t>SGSI</t>
        </is>
      </c>
      <c r="B68" s="7" t="inlineStr">
        <is>
          <t>2023</t>
        </is>
      </c>
      <c r="C68" s="8" t="n">
        <v>45777</v>
      </c>
      <c r="D68" s="7">
        <f>COUNTIFS(Seguimientos!$C$2:$C$1013,A68,Seguimientos!$D$2:$D$1013,B68,Seguimientos!$F$2:$F$1013,C68,Seguimientos!$J$2:$J$1013,1)</f>
        <v/>
      </c>
      <c r="E68" s="7">
        <f>COUNTIFS(Seguimientos!$C$2:$C$1013,A68,Seguimientos!$D$2:$D$1013,B68,Seguimientos!$F$2:$F$1013,C68,Seguimientos!$J$2:$J$1013,1,Seguimientos!$H$2:$H$1013,2)</f>
        <v/>
      </c>
      <c r="F68" s="9">
        <f>IF(D68=0,"",AVERAGEIFS(Seguimientos!$I$2:$I$1013,Seguimientos!$C$2:$C$1013,A68,Seguimientos!$D$2:$D$1013,B68,Seguimientos!$F$2:$F$1013,C68,Seguimientos!$J$2:$J$1013,1))</f>
        <v/>
      </c>
      <c r="G68" s="9">
        <f>IF(D68=0,"",E68/D68)</f>
        <v/>
      </c>
    </row>
    <row r="69">
      <c r="A69" s="7" t="inlineStr">
        <is>
          <t>SGSI</t>
        </is>
      </c>
      <c r="B69" s="7" t="inlineStr">
        <is>
          <t>2023</t>
        </is>
      </c>
      <c r="C69" s="8" t="n">
        <v>45868</v>
      </c>
      <c r="D69" s="7">
        <f>COUNTIFS(Seguimientos!$C$2:$C$1013,A69,Seguimientos!$D$2:$D$1013,B69,Seguimientos!$F$2:$F$1013,C69,Seguimientos!$J$2:$J$1013,1)</f>
        <v/>
      </c>
      <c r="E69" s="7">
        <f>COUNTIFS(Seguimientos!$C$2:$C$1013,A69,Seguimientos!$D$2:$D$1013,B69,Seguimientos!$F$2:$F$1013,C69,Seguimientos!$J$2:$J$1013,1,Seguimientos!$H$2:$H$1013,2)</f>
        <v/>
      </c>
      <c r="F69" s="9">
        <f>IF(D69=0,"",AVERAGEIFS(Seguimientos!$I$2:$I$1013,Seguimientos!$C$2:$C$1013,A69,Seguimientos!$D$2:$D$1013,B69,Seguimientos!$F$2:$F$1013,C69,Seguimientos!$J$2:$J$1013,1))</f>
        <v/>
      </c>
      <c r="G69" s="9">
        <f>IF(D69=0,"",E69/D69)</f>
        <v/>
      </c>
    </row>
    <row r="70">
      <c r="A70" s="7" t="inlineStr">
        <is>
          <t>SGSI</t>
        </is>
      </c>
      <c r="B70" s="7" t="inlineStr">
        <is>
          <t>2023</t>
        </is>
      </c>
      <c r="C70" s="8" t="n">
        <v>45930</v>
      </c>
      <c r="D70" s="7">
        <f>COUNTIFS(Seguimientos!$C$2:$C$1013,A70,Seguimientos!$D$2:$D$1013,B70,Seguimientos!$F$2:$F$1013,C70,Seguimientos!$J$2:$J$1013,1)</f>
        <v/>
      </c>
      <c r="E70" s="7">
        <f>COUNTIFS(Seguimientos!$C$2:$C$1013,A70,Seguimientos!$D$2:$D$1013,B70,Seguimientos!$F$2:$F$1013,C70,Seguimientos!$J$2:$J$1013,1,Seguimientos!$H$2:$H$1013,2)</f>
        <v/>
      </c>
      <c r="F70" s="9">
        <f>IF(D70=0,"",AVERAGEIFS(Seguimientos!$I$2:$I$1013,Seguimientos!$C$2:$C$1013,A70,Seguimientos!$D$2:$D$1013,B70,Seguimientos!$F$2:$F$1013,C70,Seguimientos!$J$2:$J$1013,1))</f>
        <v/>
      </c>
      <c r="G70" s="9">
        <f>IF(D70=0,"",E70/D70)</f>
        <v/>
      </c>
    </row>
    <row r="71">
      <c r="A71" s="7" t="inlineStr">
        <is>
          <t>SGSI</t>
        </is>
      </c>
      <c r="B71" s="7" t="inlineStr">
        <is>
          <t>2023</t>
        </is>
      </c>
      <c r="C71" s="8" t="n">
        <v>46021</v>
      </c>
      <c r="D71" s="7">
        <f>COUNTIFS(Seguimientos!$C$2:$C$1013,A71,Seguimientos!$D$2:$D$1013,B71,Seguimientos!$F$2:$F$1013,C71,Seguimientos!$J$2:$J$1013,1)</f>
        <v/>
      </c>
      <c r="E71" s="7">
        <f>COUNTIFS(Seguimientos!$C$2:$C$1013,A71,Seguimientos!$D$2:$D$1013,B71,Seguimientos!$F$2:$F$1013,C71,Seguimientos!$J$2:$J$1013,1,Seguimientos!$H$2:$H$1013,2)</f>
        <v/>
      </c>
      <c r="F71" s="9">
        <f>IF(D71=0,"",AVERAGEIFS(Seguimientos!$I$2:$I$1013,Seguimientos!$C$2:$C$1013,A71,Seguimientos!$D$2:$D$1013,B71,Seguimientos!$F$2:$F$1013,C71,Seguimientos!$J$2:$J$1013,1))</f>
        <v/>
      </c>
      <c r="G71" s="9">
        <f>IF(D71=0,"",E71/D71)</f>
        <v/>
      </c>
    </row>
    <row r="72">
      <c r="A72" s="7" t="inlineStr">
        <is>
          <t>SGSI</t>
        </is>
      </c>
      <c r="B72" s="7" t="inlineStr">
        <is>
          <t>2023</t>
        </is>
      </c>
      <c r="C72" s="8" t="n">
        <v>46142</v>
      </c>
      <c r="D72" s="7">
        <f>COUNTIFS(Seguimientos!$C$2:$C$1013,A72,Seguimientos!$D$2:$D$1013,B72,Seguimientos!$F$2:$F$1013,C72,Seguimientos!$J$2:$J$1013,1)</f>
        <v/>
      </c>
      <c r="E72" s="7">
        <f>COUNTIFS(Seguimientos!$C$2:$C$1013,A72,Seguimientos!$D$2:$D$1013,B72,Seguimientos!$F$2:$F$1013,C72,Seguimientos!$J$2:$J$1013,1,Seguimientos!$H$2:$H$1013,2)</f>
        <v/>
      </c>
      <c r="F72" s="9">
        <f>IF(D72=0,"",AVERAGEIFS(Seguimientos!$I$2:$I$1013,Seguimientos!$C$2:$C$1013,A72,Seguimientos!$D$2:$D$1013,B72,Seguimientos!$F$2:$F$1013,C72,Seguimientos!$J$2:$J$1013,1))</f>
        <v/>
      </c>
      <c r="G72" s="9">
        <f>IF(D72=0,"",E72/D72)</f>
        <v/>
      </c>
    </row>
    <row r="73">
      <c r="A73" s="7" t="inlineStr">
        <is>
          <t>SGSI</t>
        </is>
      </c>
      <c r="B73" s="7" t="inlineStr">
        <is>
          <t>2023</t>
        </is>
      </c>
      <c r="C73" s="8" t="n">
        <v>46203</v>
      </c>
      <c r="D73" s="7">
        <f>COUNTIFS(Seguimientos!$C$2:$C$1013,A73,Seguimientos!$D$2:$D$1013,B73,Seguimientos!$F$2:$F$1013,C73,Seguimientos!$J$2:$J$1013,1)</f>
        <v/>
      </c>
      <c r="E73" s="7">
        <f>COUNTIFS(Seguimientos!$C$2:$C$1013,A73,Seguimientos!$D$2:$D$1013,B73,Seguimientos!$F$2:$F$1013,C73,Seguimientos!$J$2:$J$1013,1,Seguimientos!$H$2:$H$1013,2)</f>
        <v/>
      </c>
      <c r="F73" s="9">
        <f>IF(D73=0,"",AVERAGEIFS(Seguimientos!$I$2:$I$1013,Seguimientos!$C$2:$C$1013,A73,Seguimientos!$D$2:$D$1013,B73,Seguimientos!$F$2:$F$1013,C73,Seguimientos!$J$2:$J$1013,1))</f>
        <v/>
      </c>
      <c r="G73" s="9">
        <f>IF(D73=0,"",E73/D73)</f>
        <v/>
      </c>
    </row>
    <row r="74">
      <c r="A74" s="7" t="inlineStr">
        <is>
          <t>SGSI</t>
        </is>
      </c>
      <c r="B74" s="7" t="inlineStr">
        <is>
          <t>2024</t>
        </is>
      </c>
      <c r="C74" s="8" t="n">
        <v>45777</v>
      </c>
      <c r="D74" s="7">
        <f>COUNTIFS(Seguimientos!$C$2:$C$1013,A74,Seguimientos!$D$2:$D$1013,B74,Seguimientos!$F$2:$F$1013,C74,Seguimientos!$J$2:$J$1013,1)</f>
        <v/>
      </c>
      <c r="E74" s="7">
        <f>COUNTIFS(Seguimientos!$C$2:$C$1013,A74,Seguimientos!$D$2:$D$1013,B74,Seguimientos!$F$2:$F$1013,C74,Seguimientos!$J$2:$J$1013,1,Seguimientos!$H$2:$H$1013,2)</f>
        <v/>
      </c>
      <c r="F74" s="9">
        <f>IF(D74=0,"",AVERAGEIFS(Seguimientos!$I$2:$I$1013,Seguimientos!$C$2:$C$1013,A74,Seguimientos!$D$2:$D$1013,B74,Seguimientos!$F$2:$F$1013,C74,Seguimientos!$J$2:$J$1013,1))</f>
        <v/>
      </c>
      <c r="G74" s="9">
        <f>IF(D74=0,"",E74/D74)</f>
        <v/>
      </c>
    </row>
    <row r="75">
      <c r="A75" s="7" t="inlineStr">
        <is>
          <t>SGSI</t>
        </is>
      </c>
      <c r="B75" s="7" t="inlineStr">
        <is>
          <t>2024</t>
        </is>
      </c>
      <c r="C75" s="8" t="n">
        <v>45838</v>
      </c>
      <c r="D75" s="7">
        <f>COUNTIFS(Seguimientos!$C$2:$C$1013,A75,Seguimientos!$D$2:$D$1013,B75,Seguimientos!$F$2:$F$1013,C75,Seguimientos!$J$2:$J$1013,1)</f>
        <v/>
      </c>
      <c r="E75" s="7">
        <f>COUNTIFS(Seguimientos!$C$2:$C$1013,A75,Seguimientos!$D$2:$D$1013,B75,Seguimientos!$F$2:$F$1013,C75,Seguimientos!$J$2:$J$1013,1,Seguimientos!$H$2:$H$1013,2)</f>
        <v/>
      </c>
      <c r="F75" s="9">
        <f>IF(D75=0,"",AVERAGEIFS(Seguimientos!$I$2:$I$1013,Seguimientos!$C$2:$C$1013,A75,Seguimientos!$D$2:$D$1013,B75,Seguimientos!$F$2:$F$1013,C75,Seguimientos!$J$2:$J$1013,1))</f>
        <v/>
      </c>
      <c r="G75" s="9">
        <f>IF(D75=0,"",E75/D75)</f>
        <v/>
      </c>
    </row>
    <row r="76">
      <c r="A76" s="7" t="inlineStr">
        <is>
          <t>SGSI</t>
        </is>
      </c>
      <c r="B76" s="7" t="inlineStr">
        <is>
          <t>2024</t>
        </is>
      </c>
      <c r="C76" s="8" t="n">
        <v>45930</v>
      </c>
      <c r="D76" s="7">
        <f>COUNTIFS(Seguimientos!$C$2:$C$1013,A76,Seguimientos!$D$2:$D$1013,B76,Seguimientos!$F$2:$F$1013,C76,Seguimientos!$J$2:$J$1013,1)</f>
        <v/>
      </c>
      <c r="E76" s="7">
        <f>COUNTIFS(Seguimientos!$C$2:$C$1013,A76,Seguimientos!$D$2:$D$1013,B76,Seguimientos!$F$2:$F$1013,C76,Seguimientos!$J$2:$J$1013,1,Seguimientos!$H$2:$H$1013,2)</f>
        <v/>
      </c>
      <c r="F76" s="9">
        <f>IF(D76=0,"",AVERAGEIFS(Seguimientos!$I$2:$I$1013,Seguimientos!$C$2:$C$1013,A76,Seguimientos!$D$2:$D$1013,B76,Seguimientos!$F$2:$F$1013,C76,Seguimientos!$J$2:$J$1013,1))</f>
        <v/>
      </c>
      <c r="G76" s="9">
        <f>IF(D76=0,"",E76/D76)</f>
        <v/>
      </c>
    </row>
    <row r="77">
      <c r="A77" s="7" t="inlineStr">
        <is>
          <t>SGSI</t>
        </is>
      </c>
      <c r="B77" s="7" t="inlineStr">
        <is>
          <t>2024</t>
        </is>
      </c>
      <c r="C77" s="8" t="n">
        <v>46021</v>
      </c>
      <c r="D77" s="7">
        <f>COUNTIFS(Seguimientos!$C$2:$C$1013,A77,Seguimientos!$D$2:$D$1013,B77,Seguimientos!$F$2:$F$1013,C77,Seguimientos!$J$2:$J$1013,1)</f>
        <v/>
      </c>
      <c r="E77" s="7">
        <f>COUNTIFS(Seguimientos!$C$2:$C$1013,A77,Seguimientos!$D$2:$D$1013,B77,Seguimientos!$F$2:$F$1013,C77,Seguimientos!$J$2:$J$1013,1,Seguimientos!$H$2:$H$1013,2)</f>
        <v/>
      </c>
      <c r="F77" s="9">
        <f>IF(D77=0,"",AVERAGEIFS(Seguimientos!$I$2:$I$1013,Seguimientos!$C$2:$C$1013,A77,Seguimientos!$D$2:$D$1013,B77,Seguimientos!$F$2:$F$1013,C77,Seguimientos!$J$2:$J$1013,1))</f>
        <v/>
      </c>
      <c r="G77" s="9">
        <f>IF(D77=0,"",E77/D77)</f>
        <v/>
      </c>
    </row>
    <row r="78">
      <c r="A78" s="7" t="inlineStr">
        <is>
          <t>SGSI</t>
        </is>
      </c>
      <c r="B78" s="7" t="inlineStr">
        <is>
          <t>2024</t>
        </is>
      </c>
      <c r="C78" s="8" t="n">
        <v>46142</v>
      </c>
      <c r="D78" s="7">
        <f>COUNTIFS(Seguimientos!$C$2:$C$1013,A78,Seguimientos!$D$2:$D$1013,B78,Seguimientos!$F$2:$F$1013,C78,Seguimientos!$J$2:$J$1013,1)</f>
        <v/>
      </c>
      <c r="E78" s="7">
        <f>COUNTIFS(Seguimientos!$C$2:$C$1013,A78,Seguimientos!$D$2:$D$1013,B78,Seguimientos!$F$2:$F$1013,C78,Seguimientos!$J$2:$J$1013,1,Seguimientos!$H$2:$H$1013,2)</f>
        <v/>
      </c>
      <c r="F78" s="9">
        <f>IF(D78=0,"",AVERAGEIFS(Seguimientos!$I$2:$I$1013,Seguimientos!$C$2:$C$1013,A78,Seguimientos!$D$2:$D$1013,B78,Seguimientos!$F$2:$F$1013,C78,Seguimientos!$J$2:$J$1013,1))</f>
        <v/>
      </c>
      <c r="G78" s="9">
        <f>IF(D78=0,"",E78/D78)</f>
        <v/>
      </c>
    </row>
    <row r="79">
      <c r="A79" s="7" t="inlineStr">
        <is>
          <t>SGSI</t>
        </is>
      </c>
      <c r="B79" s="7" t="inlineStr">
        <is>
          <t>2024</t>
        </is>
      </c>
      <c r="C79" s="8" t="n">
        <v>46203</v>
      </c>
      <c r="D79" s="7">
        <f>COUNTIFS(Seguimientos!$C$2:$C$1013,A79,Seguimientos!$D$2:$D$1013,B79,Seguimientos!$F$2:$F$1013,C79,Seguimientos!$J$2:$J$1013,1)</f>
        <v/>
      </c>
      <c r="E79" s="7">
        <f>COUNTIFS(Seguimientos!$C$2:$C$1013,A79,Seguimientos!$D$2:$D$1013,B79,Seguimientos!$F$2:$F$1013,C79,Seguimientos!$J$2:$J$1013,1,Seguimientos!$H$2:$H$1013,2)</f>
        <v/>
      </c>
      <c r="F79" s="9">
        <f>IF(D79=0,"",AVERAGEIFS(Seguimientos!$I$2:$I$1013,Seguimientos!$C$2:$C$1013,A79,Seguimientos!$D$2:$D$1013,B79,Seguimientos!$F$2:$F$1013,C79,Seguimientos!$J$2:$J$1013,1))</f>
        <v/>
      </c>
      <c r="G79" s="9">
        <f>IF(D79=0,"",E79/D79)</f>
        <v/>
      </c>
    </row>
    <row r="80">
      <c r="A80" s="7" t="inlineStr">
        <is>
          <t>SGSI</t>
        </is>
      </c>
      <c r="B80" s="7" t="inlineStr">
        <is>
          <t>2025</t>
        </is>
      </c>
      <c r="C80" s="8" t="n">
        <v>46142</v>
      </c>
      <c r="D80" s="7">
        <f>COUNTIFS(Seguimientos!$C$2:$C$1013,A80,Seguimientos!$D$2:$D$1013,B80,Seguimientos!$F$2:$F$1013,C80,Seguimientos!$J$2:$J$1013,1)</f>
        <v/>
      </c>
      <c r="E80" s="7">
        <f>COUNTIFS(Seguimientos!$C$2:$C$1013,A80,Seguimientos!$D$2:$D$1013,B80,Seguimientos!$F$2:$F$1013,C80,Seguimientos!$J$2:$J$1013,1,Seguimientos!$H$2:$H$1013,2)</f>
        <v/>
      </c>
      <c r="F80" s="9">
        <f>IF(D80=0,"",AVERAGEIFS(Seguimientos!$I$2:$I$1013,Seguimientos!$C$2:$C$1013,A80,Seguimientos!$D$2:$D$1013,B80,Seguimientos!$F$2:$F$1013,C80,Seguimientos!$J$2:$J$1013,1))</f>
        <v/>
      </c>
      <c r="G80" s="9">
        <f>IF(D80=0,"",E80/D80)</f>
        <v/>
      </c>
    </row>
    <row r="81">
      <c r="A81" s="7" t="inlineStr">
        <is>
          <t>SGSI</t>
        </is>
      </c>
      <c r="B81" s="7" t="inlineStr">
        <is>
          <t>2025</t>
        </is>
      </c>
      <c r="C81" s="8" t="n">
        <v>46203</v>
      </c>
      <c r="D81" s="7">
        <f>COUNTIFS(Seguimientos!$C$2:$C$1013,A81,Seguimientos!$D$2:$D$1013,B81,Seguimientos!$F$2:$F$1013,C81,Seguimientos!$J$2:$J$1013,1)</f>
        <v/>
      </c>
      <c r="E81" s="7">
        <f>COUNTIFS(Seguimientos!$C$2:$C$1013,A81,Seguimientos!$D$2:$D$1013,B81,Seguimientos!$F$2:$F$1013,C81,Seguimientos!$J$2:$J$1013,1,Seguimientos!$H$2:$H$1013,2)</f>
        <v/>
      </c>
      <c r="F81" s="9">
        <f>IF(D81=0,"",AVERAGEIFS(Seguimientos!$I$2:$I$1013,Seguimientos!$C$2:$C$1013,A81,Seguimientos!$D$2:$D$1013,B81,Seguimientos!$F$2:$F$1013,C81,Seguimientos!$J$2:$J$1013,1))</f>
        <v/>
      </c>
      <c r="G81" s="9">
        <f>IF(D81=0,"",E81/D81)</f>
        <v/>
      </c>
    </row>
    <row r="82">
      <c r="A82" s="7" t="inlineStr">
        <is>
          <t>SGSI</t>
        </is>
      </c>
      <c r="B82" s="7" t="inlineStr">
        <is>
          <t>2025</t>
        </is>
      </c>
      <c r="C82" s="8" t="n">
        <v>46295</v>
      </c>
      <c r="D82" s="7">
        <f>COUNTIFS(Seguimientos!$C$2:$C$1013,A82,Seguimientos!$D$2:$D$1013,B82,Seguimientos!$F$2:$F$1013,C82,Seguimientos!$J$2:$J$1013,1)</f>
        <v/>
      </c>
      <c r="E82" s="7">
        <f>COUNTIFS(Seguimientos!$C$2:$C$1013,A82,Seguimientos!$D$2:$D$1013,B82,Seguimientos!$F$2:$F$1013,C82,Seguimientos!$J$2:$J$1013,1,Seguimientos!$H$2:$H$1013,2)</f>
        <v/>
      </c>
      <c r="F82" s="9">
        <f>IF(D82=0,"",AVERAGEIFS(Seguimientos!$I$2:$I$1013,Seguimientos!$C$2:$C$1013,A82,Seguimientos!$D$2:$D$1013,B82,Seguimientos!$F$2:$F$1013,C82,Seguimientos!$J$2:$J$1013,1))</f>
        <v/>
      </c>
      <c r="G82" s="9">
        <f>IF(D82=0,"",E82/D82)</f>
        <v/>
      </c>
    </row>
    <row r="83">
      <c r="A83" s="7" t="inlineStr">
        <is>
          <t>SGAS</t>
        </is>
      </c>
      <c r="B83" s="7" t="inlineStr">
        <is>
          <t>2024</t>
        </is>
      </c>
      <c r="C83" s="8" t="n">
        <v>45777</v>
      </c>
      <c r="D83" s="7">
        <f>COUNTIFS(Seguimientos!$C$2:$C$1013,A83,Seguimientos!$D$2:$D$1013,B83,Seguimientos!$F$2:$F$1013,C83,Seguimientos!$J$2:$J$1013,1)</f>
        <v/>
      </c>
      <c r="E83" s="7">
        <f>COUNTIFS(Seguimientos!$C$2:$C$1013,A83,Seguimientos!$D$2:$D$1013,B83,Seguimientos!$F$2:$F$1013,C83,Seguimientos!$J$2:$J$1013,1,Seguimientos!$H$2:$H$1013,2)</f>
        <v/>
      </c>
      <c r="F83" s="9">
        <f>IF(D83=0,"",AVERAGEIFS(Seguimientos!$I$2:$I$1013,Seguimientos!$C$2:$C$1013,A83,Seguimientos!$D$2:$D$1013,B83,Seguimientos!$F$2:$F$1013,C83,Seguimientos!$J$2:$J$1013,1))</f>
        <v/>
      </c>
      <c r="G83" s="9">
        <f>IF(D83=0,"",E83/D83)</f>
        <v/>
      </c>
    </row>
    <row r="84">
      <c r="A84" s="7" t="inlineStr">
        <is>
          <t>SGAS</t>
        </is>
      </c>
      <c r="B84" s="7" t="inlineStr">
        <is>
          <t>2024</t>
        </is>
      </c>
      <c r="C84" s="8" t="n">
        <v>45838</v>
      </c>
      <c r="D84" s="7">
        <f>COUNTIFS(Seguimientos!$C$2:$C$1013,A84,Seguimientos!$D$2:$D$1013,B84,Seguimientos!$F$2:$F$1013,C84,Seguimientos!$J$2:$J$1013,1)</f>
        <v/>
      </c>
      <c r="E84" s="7">
        <f>COUNTIFS(Seguimientos!$C$2:$C$1013,A84,Seguimientos!$D$2:$D$1013,B84,Seguimientos!$F$2:$F$1013,C84,Seguimientos!$J$2:$J$1013,1,Seguimientos!$H$2:$H$1013,2)</f>
        <v/>
      </c>
      <c r="F84" s="9">
        <f>IF(D84=0,"",AVERAGEIFS(Seguimientos!$I$2:$I$1013,Seguimientos!$C$2:$C$1013,A84,Seguimientos!$D$2:$D$1013,B84,Seguimientos!$F$2:$F$1013,C84,Seguimientos!$J$2:$J$1013,1))</f>
        <v/>
      </c>
      <c r="G84" s="9">
        <f>IF(D84=0,"",E84/D84)</f>
        <v/>
      </c>
    </row>
    <row r="85">
      <c r="A85" s="7" t="inlineStr">
        <is>
          <t>SGAS</t>
        </is>
      </c>
      <c r="B85" s="7" t="inlineStr">
        <is>
          <t>2024</t>
        </is>
      </c>
      <c r="C85" s="8" t="n">
        <v>45930</v>
      </c>
      <c r="D85" s="7">
        <f>COUNTIFS(Seguimientos!$C$2:$C$1013,A85,Seguimientos!$D$2:$D$1013,B85,Seguimientos!$F$2:$F$1013,C85,Seguimientos!$J$2:$J$1013,1)</f>
        <v/>
      </c>
      <c r="E85" s="7">
        <f>COUNTIFS(Seguimientos!$C$2:$C$1013,A85,Seguimientos!$D$2:$D$1013,B85,Seguimientos!$F$2:$F$1013,C85,Seguimientos!$J$2:$J$1013,1,Seguimientos!$H$2:$H$1013,2)</f>
        <v/>
      </c>
      <c r="F85" s="9">
        <f>IF(D85=0,"",AVERAGEIFS(Seguimientos!$I$2:$I$1013,Seguimientos!$C$2:$C$1013,A85,Seguimientos!$D$2:$D$1013,B85,Seguimientos!$F$2:$F$1013,C85,Seguimientos!$J$2:$J$1013,1))</f>
        <v/>
      </c>
      <c r="G85" s="9">
        <f>IF(D85=0,"",E85/D85)</f>
        <v/>
      </c>
    </row>
    <row r="86">
      <c r="A86" s="7" t="inlineStr">
        <is>
          <t>SGAS</t>
        </is>
      </c>
      <c r="B86" s="7" t="inlineStr">
        <is>
          <t>2024</t>
        </is>
      </c>
      <c r="C86" s="8" t="n">
        <v>46021</v>
      </c>
      <c r="D86" s="7">
        <f>COUNTIFS(Seguimientos!$C$2:$C$1013,A86,Seguimientos!$D$2:$D$1013,B86,Seguimientos!$F$2:$F$1013,C86,Seguimientos!$J$2:$J$1013,1)</f>
        <v/>
      </c>
      <c r="E86" s="7">
        <f>COUNTIFS(Seguimientos!$C$2:$C$1013,A86,Seguimientos!$D$2:$D$1013,B86,Seguimientos!$F$2:$F$1013,C86,Seguimientos!$J$2:$J$1013,1,Seguimientos!$H$2:$H$1013,2)</f>
        <v/>
      </c>
      <c r="F86" s="9">
        <f>IF(D86=0,"",AVERAGEIFS(Seguimientos!$I$2:$I$1013,Seguimientos!$C$2:$C$1013,A86,Seguimientos!$D$2:$D$1013,B86,Seguimientos!$F$2:$F$1013,C86,Seguimientos!$J$2:$J$1013,1))</f>
        <v/>
      </c>
      <c r="G86" s="9">
        <f>IF(D86=0,"",E86/D86)</f>
        <v/>
      </c>
    </row>
    <row r="87">
      <c r="A87" s="7" t="inlineStr">
        <is>
          <t>SGAS</t>
        </is>
      </c>
      <c r="B87" s="7" t="inlineStr">
        <is>
          <t>2024</t>
        </is>
      </c>
      <c r="C87" s="8" t="n">
        <v>46203</v>
      </c>
      <c r="D87" s="7">
        <f>COUNTIFS(Seguimientos!$C$2:$C$1013,A87,Seguimientos!$D$2:$D$1013,B87,Seguimientos!$F$2:$F$1013,C87,Seguimientos!$J$2:$J$1013,1)</f>
        <v/>
      </c>
      <c r="E87" s="7">
        <f>COUNTIFS(Seguimientos!$C$2:$C$1013,A87,Seguimientos!$D$2:$D$1013,B87,Seguimientos!$F$2:$F$1013,C87,Seguimientos!$J$2:$J$1013,1,Seguimientos!$H$2:$H$1013,2)</f>
        <v/>
      </c>
      <c r="F87" s="9">
        <f>IF(D87=0,"",AVERAGEIFS(Seguimientos!$I$2:$I$1013,Seguimientos!$C$2:$C$1013,A87,Seguimientos!$D$2:$D$1013,B87,Seguimientos!$F$2:$F$1013,C87,Seguimientos!$J$2:$J$1013,1))</f>
        <v/>
      </c>
      <c r="G87" s="9">
        <f>IF(D87=0,"",E87/D87)</f>
        <v/>
      </c>
    </row>
    <row r="88">
      <c r="A88" s="7" t="inlineStr">
        <is>
          <t>SGAS</t>
        </is>
      </c>
      <c r="B88" s="7" t="inlineStr">
        <is>
          <t>2025</t>
        </is>
      </c>
      <c r="C88" s="8" t="n">
        <v>46142</v>
      </c>
      <c r="D88" s="7">
        <f>COUNTIFS(Seguimientos!$C$2:$C$1013,A88,Seguimientos!$D$2:$D$1013,B88,Seguimientos!$F$2:$F$1013,C88,Seguimientos!$J$2:$J$1013,1)</f>
        <v/>
      </c>
      <c r="E88" s="7">
        <f>COUNTIFS(Seguimientos!$C$2:$C$1013,A88,Seguimientos!$D$2:$D$1013,B88,Seguimientos!$F$2:$F$1013,C88,Seguimientos!$J$2:$J$1013,1,Seguimientos!$H$2:$H$1013,2)</f>
        <v/>
      </c>
      <c r="F88" s="9">
        <f>IF(D88=0,"",AVERAGEIFS(Seguimientos!$I$2:$I$1013,Seguimientos!$C$2:$C$1013,A88,Seguimientos!$D$2:$D$1013,B88,Seguimientos!$F$2:$F$1013,C88,Seguimientos!$J$2:$J$1013,1))</f>
        <v/>
      </c>
      <c r="G88" s="9">
        <f>IF(D88=0,"",E88/D88)</f>
        <v/>
      </c>
    </row>
    <row r="89">
      <c r="A89" s="7" t="inlineStr">
        <is>
          <t>SGAS</t>
        </is>
      </c>
      <c r="B89" s="7" t="inlineStr">
        <is>
          <t>2025</t>
        </is>
      </c>
      <c r="C89" s="8" t="n">
        <v>46203</v>
      </c>
      <c r="D89" s="7">
        <f>COUNTIFS(Seguimientos!$C$2:$C$1013,A89,Seguimientos!$D$2:$D$1013,B89,Seguimientos!$F$2:$F$1013,C89,Seguimientos!$J$2:$J$1013,1)</f>
        <v/>
      </c>
      <c r="E89" s="7">
        <f>COUNTIFS(Seguimientos!$C$2:$C$1013,A89,Seguimientos!$D$2:$D$1013,B89,Seguimientos!$F$2:$F$1013,C89,Seguimientos!$J$2:$J$1013,1,Seguimientos!$H$2:$H$1013,2)</f>
        <v/>
      </c>
      <c r="F89" s="9">
        <f>IF(D89=0,"",AVERAGEIFS(Seguimientos!$I$2:$I$1013,Seguimientos!$C$2:$C$1013,A89,Seguimientos!$D$2:$D$1013,B89,Seguimientos!$F$2:$F$1013,C89,Seguimientos!$J$2:$J$1013,1))</f>
        <v/>
      </c>
      <c r="G89" s="9">
        <f>IF(D89=0,"",E89/D89)</f>
        <v/>
      </c>
    </row>
    <row r="90">
      <c r="A90" s="7" t="inlineStr">
        <is>
          <t>SGAS</t>
        </is>
      </c>
      <c r="B90" s="7" t="inlineStr">
        <is>
          <t>2025</t>
        </is>
      </c>
      <c r="C90" s="8" t="n">
        <v>46295</v>
      </c>
      <c r="D90" s="7">
        <f>COUNTIFS(Seguimientos!$C$2:$C$1013,A90,Seguimientos!$D$2:$D$1013,B90,Seguimientos!$F$2:$F$1013,C90,Seguimientos!$J$2:$J$1013,1)</f>
        <v/>
      </c>
      <c r="E90" s="7">
        <f>COUNTIFS(Seguimientos!$C$2:$C$1013,A90,Seguimientos!$D$2:$D$1013,B90,Seguimientos!$F$2:$F$1013,C90,Seguimientos!$J$2:$J$1013,1,Seguimientos!$H$2:$H$1013,2)</f>
        <v/>
      </c>
      <c r="F90" s="9">
        <f>IF(D90=0,"",AVERAGEIFS(Seguimientos!$I$2:$I$1013,Seguimientos!$C$2:$C$1013,A90,Seguimientos!$D$2:$D$1013,B90,Seguimientos!$F$2:$F$1013,C90,Seguimientos!$J$2:$J$1013,1))</f>
        <v/>
      </c>
      <c r="G90" s="9">
        <f>IF(D90=0,"",E90/D90)</f>
        <v/>
      </c>
    </row>
  </sheetData>
  <autoFilter ref="A4:G9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63"/>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8" customWidth="1" min="3" max="3"/>
    <col width="9" customWidth="1" min="4" max="4"/>
    <col width="7" customWidth="1" min="5" max="5"/>
    <col width="60" customWidth="1" min="6" max="6"/>
    <col width="34" customWidth="1" min="7" max="7"/>
    <col width="30" customWidth="1" min="8" max="8"/>
    <col width="45" customWidth="1" min="9" max="9"/>
    <col width="22" customWidth="1" min="10" max="10"/>
    <col width="13" customWidth="1" min="11" max="11"/>
    <col width="12" customWidth="1" min="12" max="12"/>
    <col width="11" customWidth="1" min="13" max="13"/>
    <col width="14" customWidth="1" min="14" max="14"/>
    <col width="12" customWidth="1" min="15" max="15"/>
    <col width="11" customWidth="1" min="16" max="16"/>
    <col width="20" customWidth="1" min="17" max="17"/>
    <col width="10" customWidth="1" min="18" max="18"/>
    <col width="11" customWidth="1" min="19" max="19"/>
    <col width="10" customWidth="1" min="20" max="20"/>
  </cols>
  <sheetData>
    <row r="1" ht="30" customHeight="1">
      <c r="A1" s="6" t="inlineStr">
        <is>
          <t>ID OM</t>
        </is>
      </c>
      <c r="B1" s="6" t="inlineStr">
        <is>
          <t>Sistema</t>
        </is>
      </c>
      <c r="C1" s="6" t="inlineStr">
        <is>
          <t>Nombre del sistema</t>
        </is>
      </c>
      <c r="D1" s="6" t="inlineStr">
        <is>
          <t>Vigencia</t>
        </is>
      </c>
      <c r="E1" s="6" t="inlineStr">
        <is>
          <t>PM N°</t>
        </is>
      </c>
      <c r="F1" s="6" t="inlineStr">
        <is>
          <t>Oportunidad de mejora</t>
        </is>
      </c>
      <c r="G1" s="6" t="inlineStr">
        <is>
          <t>Responsable</t>
        </is>
      </c>
      <c r="H1" s="6" t="inlineStr">
        <is>
          <t>Áreas</t>
        </is>
      </c>
      <c r="I1" s="6" t="inlineStr">
        <is>
          <t>Entregable</t>
        </is>
      </c>
      <c r="J1" s="6" t="inlineStr">
        <is>
          <t>Entrega comprometida (texto)</t>
        </is>
      </c>
      <c r="K1" s="6" t="inlineStr">
        <is>
          <t>Fecha de entrega</t>
        </is>
      </c>
      <c r="L1" s="6" t="inlineStr">
        <is>
          <t>Seguimientos</t>
        </is>
      </c>
      <c r="M1" s="6" t="inlineStr">
        <is>
          <t>N.º último calificado</t>
        </is>
      </c>
      <c r="N1" s="6" t="inlineStr">
        <is>
          <t>Fecha último corte calificado</t>
        </is>
      </c>
      <c r="O1" s="6" t="inlineStr">
        <is>
          <t>Última calificación</t>
        </is>
      </c>
      <c r="P1" s="6" t="inlineStr">
        <is>
          <t>Avance vigente</t>
        </is>
      </c>
      <c r="Q1" s="6" t="inlineStr">
        <is>
          <t>Estado vigente</t>
        </is>
      </c>
      <c r="R1" s="6" t="inlineStr">
        <is>
          <t>Cumplida</t>
        </is>
      </c>
      <c r="S1" s="6" t="inlineStr">
        <is>
          <t>Atención (sin avance)</t>
        </is>
      </c>
      <c r="T1" s="6" t="inlineStr">
        <is>
          <t>Vencida</t>
        </is>
      </c>
    </row>
    <row r="2">
      <c r="A2" s="7" t="inlineStr">
        <is>
          <t>sgc-2022-1</t>
        </is>
      </c>
      <c r="B2" s="7" t="inlineStr">
        <is>
          <t>SGC</t>
        </is>
      </c>
      <c r="C2" s="7" t="inlineStr">
        <is>
          <t>Sistema de Gestión de Calidad</t>
        </is>
      </c>
      <c r="D2" s="7" t="inlineStr">
        <is>
          <t>2022</t>
        </is>
      </c>
      <c r="E2" s="7" t="n">
        <v>1</v>
      </c>
      <c r="F2" s="13" t="inlineStr">
        <is>
          <t>Se evidencia un comportamiento estable de las salidas no conformes entre 2021-2022; sin embargo, en los seguimientos no se cuenta con el aseguramiento de cubrir a la totalidad de las partes interesadas.</t>
        </is>
      </c>
      <c r="G2" s="13" t="inlineStr">
        <is>
          <t>Oficina de calidad – procesos a los que aplica SNC</t>
        </is>
      </c>
      <c r="H2" s="13" t="inlineStr">
        <is>
          <t>Calidad</t>
        </is>
      </c>
      <c r="I2" s="13" t="inlineStr">
        <is>
          <t>Actualizar los procedimientos e instructivos de salidas no conformes de los procesos, para incluir actividades de verificación de conformidad posterior a su tratamiento.</t>
        </is>
      </c>
      <c r="J2" s="13" t="inlineStr">
        <is>
          <t>45078</t>
        </is>
      </c>
      <c r="K2" s="8" t="n">
        <v>45078</v>
      </c>
      <c r="L2" s="7">
        <f>COUNTIF(Seguimientos!$A$2:$A$1013,A2)</f>
        <v/>
      </c>
      <c r="M2" s="7">
        <f>SUMPRODUCT(MAX((Seguimientos!$A$2:$A$1013=A2)*(Seguimientos!$H$2:$H$1013&lt;&gt;"")*Seguimientos!$B$2:$B$1013))</f>
        <v/>
      </c>
      <c r="N2" s="8">
        <f>IF(M2=0,"",INDEX(Seguimientos!$F$2:$F$1013,MATCH(A2&amp;"|"&amp;M2,Seguimientos!$K$2:$K$1013,0)))</f>
        <v/>
      </c>
      <c r="O2" s="14">
        <f>IF(M2=0,0,INDEX(Seguimientos!$H$2:$H$1013,MATCH(A2&amp;"|"&amp;M2,Seguimientos!$K$2:$K$1013,0)))</f>
        <v/>
      </c>
      <c r="P2" s="9">
        <f>O2/2</f>
        <v/>
      </c>
      <c r="Q2" s="7">
        <f>INDEX(Escala!$B$2:$B$6,MATCH(O2,Escala!$A$2:$A$6,0))</f>
        <v/>
      </c>
      <c r="R2" s="7">
        <f>IF(O2=2,"Sí","No")</f>
        <v/>
      </c>
      <c r="S2" s="7">
        <f>IF(O2=0,"Sí","No")</f>
        <v/>
      </c>
      <c r="T2" s="7">
        <f>IF(AND(ISNUMBER(K2),O2&lt;2),IF(K2&lt;INDEX('Por sistema'!$D$5:$D$9,MATCH(B2,'Por sistema'!$A$5:$A$9,0)),"Sí","No"),"No")</f>
        <v/>
      </c>
    </row>
    <row r="3">
      <c r="A3" s="7" t="inlineStr">
        <is>
          <t>sgc-2022-2</t>
        </is>
      </c>
      <c r="B3" s="7" t="inlineStr">
        <is>
          <t>SGC</t>
        </is>
      </c>
      <c r="C3" s="7" t="inlineStr">
        <is>
          <t>Sistema de Gestión de Calidad</t>
        </is>
      </c>
      <c r="D3" s="7" t="inlineStr">
        <is>
          <t>2022</t>
        </is>
      </c>
      <c r="E3" s="7" t="n">
        <v>2</v>
      </c>
      <c r="F3" s="13" t="inlineStr">
        <is>
          <t>Generar contrato de auditoria integrada de SIG en una sola auditoria. (Interna y tercera parte)</t>
        </is>
      </c>
      <c r="G3" s="13" t="inlineStr">
        <is>
          <t>Coordinación de Calidad</t>
        </is>
      </c>
      <c r="H3" s="13" t="inlineStr">
        <is>
          <t>Calidad</t>
        </is>
      </c>
      <c r="I3" s="13" t="inlineStr">
        <is>
          <t>Generar el contrato de auditorías Integrales en el primer semestre para los sistemas de gestión.</t>
        </is>
      </c>
      <c r="J3" s="13" t="inlineStr">
        <is>
          <t>45078</t>
        </is>
      </c>
      <c r="K3" s="8" t="n">
        <v>45078</v>
      </c>
      <c r="L3" s="7">
        <f>COUNTIF(Seguimientos!$A$2:$A$1013,A3)</f>
        <v/>
      </c>
      <c r="M3" s="7">
        <f>SUMPRODUCT(MAX((Seguimientos!$A$2:$A$1013=A3)*(Seguimientos!$H$2:$H$1013&lt;&gt;"")*Seguimientos!$B$2:$B$1013))</f>
        <v/>
      </c>
      <c r="N3" s="8">
        <f>IF(M3=0,"",INDEX(Seguimientos!$F$2:$F$1013,MATCH(A3&amp;"|"&amp;M3,Seguimientos!$K$2:$K$1013,0)))</f>
        <v/>
      </c>
      <c r="O3" s="14">
        <f>IF(M3=0,0,INDEX(Seguimientos!$H$2:$H$1013,MATCH(A3&amp;"|"&amp;M3,Seguimientos!$K$2:$K$1013,0)))</f>
        <v/>
      </c>
      <c r="P3" s="9">
        <f>O3/2</f>
        <v/>
      </c>
      <c r="Q3" s="7">
        <f>INDEX(Escala!$B$2:$B$6,MATCH(O3,Escala!$A$2:$A$6,0))</f>
        <v/>
      </c>
      <c r="R3" s="7">
        <f>IF(O3=2,"Sí","No")</f>
        <v/>
      </c>
      <c r="S3" s="7">
        <f>IF(O3=0,"Sí","No")</f>
        <v/>
      </c>
      <c r="T3" s="7">
        <f>IF(AND(ISNUMBER(K3),O3&lt;2),IF(K3&lt;INDEX('Por sistema'!$D$5:$D$9,MATCH(B3,'Por sistema'!$A$5:$A$9,0)),"Sí","No"),"No")</f>
        <v/>
      </c>
    </row>
    <row r="4">
      <c r="A4" s="7" t="inlineStr">
        <is>
          <t>sgc-2022-3</t>
        </is>
      </c>
      <c r="B4" s="7" t="inlineStr">
        <is>
          <t>SGC</t>
        </is>
      </c>
      <c r="C4" s="7" t="inlineStr">
        <is>
          <t>Sistema de Gestión de Calidad</t>
        </is>
      </c>
      <c r="D4" s="7" t="inlineStr">
        <is>
          <t>2022</t>
        </is>
      </c>
      <c r="E4" s="7" t="n">
        <v>3</v>
      </c>
      <c r="F4" s="13" t="inlineStr">
        <is>
          <t>La sistematización de la reevaluación al proveedor de bienes y servicios en la plataforma Integradoc.</t>
        </is>
      </c>
      <c r="G4" s="13" t="inlineStr">
        <is>
          <t>Dirección de Bienes y Servicios - Oficina de Calidad</t>
        </is>
      </c>
      <c r="H4" s="13" t="inlineStr">
        <is>
          <t>Calidad, Bienes, Servicios y Compras</t>
        </is>
      </c>
      <c r="I4" s="13" t="inlineStr">
        <is>
          <t>Sistematizar del formato de reevaluación de proveedores.</t>
        </is>
      </c>
      <c r="J4" s="13" t="inlineStr">
        <is>
          <t>45078</t>
        </is>
      </c>
      <c r="K4" s="8" t="n">
        <v>45078</v>
      </c>
      <c r="L4" s="7">
        <f>COUNTIF(Seguimientos!$A$2:$A$1013,A4)</f>
        <v/>
      </c>
      <c r="M4" s="7">
        <f>SUMPRODUCT(MAX((Seguimientos!$A$2:$A$1013=A4)*(Seguimientos!$H$2:$H$1013&lt;&gt;"")*Seguimientos!$B$2:$B$1013))</f>
        <v/>
      </c>
      <c r="N4" s="8">
        <f>IF(M4=0,"",INDEX(Seguimientos!$F$2:$F$1013,MATCH(A4&amp;"|"&amp;M4,Seguimientos!$K$2:$K$1013,0)))</f>
        <v/>
      </c>
      <c r="O4" s="14">
        <f>IF(M4=0,0,INDEX(Seguimientos!$H$2:$H$1013,MATCH(A4&amp;"|"&amp;M4,Seguimientos!$K$2:$K$1013,0)))</f>
        <v/>
      </c>
      <c r="P4" s="9">
        <f>O4/2</f>
        <v/>
      </c>
      <c r="Q4" s="7">
        <f>INDEX(Escala!$B$2:$B$6,MATCH(O4,Escala!$A$2:$A$6,0))</f>
        <v/>
      </c>
      <c r="R4" s="7">
        <f>IF(O4=2,"Sí","No")</f>
        <v/>
      </c>
      <c r="S4" s="7">
        <f>IF(O4=0,"Sí","No")</f>
        <v/>
      </c>
      <c r="T4" s="7">
        <f>IF(AND(ISNUMBER(K4),O4&lt;2),IF(K4&lt;INDEX('Por sistema'!$D$5:$D$9,MATCH(B4,'Por sistema'!$A$5:$A$9,0)),"Sí","No"),"No")</f>
        <v/>
      </c>
    </row>
    <row r="5">
      <c r="A5" s="7" t="inlineStr">
        <is>
          <t>sgc-2022-4</t>
        </is>
      </c>
      <c r="B5" s="7" t="inlineStr">
        <is>
          <t>SGC</t>
        </is>
      </c>
      <c r="C5" s="7" t="inlineStr">
        <is>
          <t>Sistema de Gestión de Calidad</t>
        </is>
      </c>
      <c r="D5" s="7" t="inlineStr">
        <is>
          <t>2022</t>
        </is>
      </c>
      <c r="E5" s="7" t="n">
        <v>4</v>
      </c>
      <c r="F5" s="13" t="inlineStr">
        <is>
          <t>La Universidad en aras de garantizar procesos pre-contractuales, contractuales y post-contractuales con selección objetiva y transparencia, crea el procedimiento ABSP18 para supervisores e interventores, donde se establecen actividades y responsables dentro del mismo, junto con requisitos y condiciones generales para el desarrollo del procedimiento.</t>
        </is>
      </c>
      <c r="G5" s="13" t="inlineStr">
        <is>
          <t>Dirección de Bienes y Servicios (Oficina de Compras) - Oficina de Calidad</t>
        </is>
      </c>
      <c r="H5" s="13" t="inlineStr">
        <is>
          <t>Calidad, Bienes, Servicios y Compras</t>
        </is>
      </c>
      <c r="I5" s="13" t="inlineStr">
        <is>
          <t>Realizar un diagnostico de los procedimientos de contratación y supervisión para generar los ajustes necesarios que conlleven a optimizar el proceso.</t>
        </is>
      </c>
      <c r="J5" s="13" t="inlineStr">
        <is>
          <t>45261</t>
        </is>
      </c>
      <c r="K5" s="8" t="n">
        <v>45261</v>
      </c>
      <c r="L5" s="7">
        <f>COUNTIF(Seguimientos!$A$2:$A$1013,A5)</f>
        <v/>
      </c>
      <c r="M5" s="7">
        <f>SUMPRODUCT(MAX((Seguimientos!$A$2:$A$1013=A5)*(Seguimientos!$H$2:$H$1013&lt;&gt;"")*Seguimientos!$B$2:$B$1013))</f>
        <v/>
      </c>
      <c r="N5" s="8">
        <f>IF(M5=0,"",INDEX(Seguimientos!$F$2:$F$1013,MATCH(A5&amp;"|"&amp;M5,Seguimientos!$K$2:$K$1013,0)))</f>
        <v/>
      </c>
      <c r="O5" s="14">
        <f>IF(M5=0,0,INDEX(Seguimientos!$H$2:$H$1013,MATCH(A5&amp;"|"&amp;M5,Seguimientos!$K$2:$K$1013,0)))</f>
        <v/>
      </c>
      <c r="P5" s="9">
        <f>O5/2</f>
        <v/>
      </c>
      <c r="Q5" s="7">
        <f>INDEX(Escala!$B$2:$B$6,MATCH(O5,Escala!$A$2:$A$6,0))</f>
        <v/>
      </c>
      <c r="R5" s="7">
        <f>IF(O5=2,"Sí","No")</f>
        <v/>
      </c>
      <c r="S5" s="7">
        <f>IF(O5=0,"Sí","No")</f>
        <v/>
      </c>
      <c r="T5" s="7">
        <f>IF(AND(ISNUMBER(K5),O5&lt;2),IF(K5&lt;INDEX('Por sistema'!$D$5:$D$9,MATCH(B5,'Por sistema'!$A$5:$A$9,0)),"Sí","No"),"No")</f>
        <v/>
      </c>
    </row>
    <row r="6">
      <c r="A6" s="7" t="inlineStr">
        <is>
          <t>sgc-2022-4-sn1u5ppt</t>
        </is>
      </c>
      <c r="B6" s="7" t="inlineStr">
        <is>
          <t>SGC</t>
        </is>
      </c>
      <c r="C6" s="7" t="inlineStr">
        <is>
          <t>Sistema de Gestión de Calidad</t>
        </is>
      </c>
      <c r="D6" s="7" t="inlineStr">
        <is>
          <t>2022</t>
        </is>
      </c>
      <c r="E6" s="7" t="n">
        <v>4</v>
      </c>
      <c r="F6" s="13" t="inlineStr">
        <is>
          <t>Mejora continua en la documentación del proceso de compras</t>
        </is>
      </c>
      <c r="G6" s="13" t="inlineStr">
        <is>
          <t>Dirección de Bienes y Servicios (Oficina de Compras) - Oficina de Calidad</t>
        </is>
      </c>
      <c r="H6" s="13" t="inlineStr">
        <is>
          <t>Calidad, Bienes, Servicios y Compras</t>
        </is>
      </c>
      <c r="I6" s="13" t="inlineStr"/>
      <c r="J6" s="13" t="inlineStr">
        <is>
          <t>45261</t>
        </is>
      </c>
      <c r="K6" s="8" t="n">
        <v>45261</v>
      </c>
      <c r="L6" s="7">
        <f>COUNTIF(Seguimientos!$A$2:$A$1013,A6)</f>
        <v/>
      </c>
      <c r="M6" s="7">
        <f>SUMPRODUCT(MAX((Seguimientos!$A$2:$A$1013=A6)*(Seguimientos!$H$2:$H$1013&lt;&gt;"")*Seguimientos!$B$2:$B$1013))</f>
        <v/>
      </c>
      <c r="N6" s="8">
        <f>IF(M6=0,"",INDEX(Seguimientos!$F$2:$F$1013,MATCH(A6&amp;"|"&amp;M6,Seguimientos!$K$2:$K$1013,0)))</f>
        <v/>
      </c>
      <c r="O6" s="14">
        <f>IF(M6=0,0,INDEX(Seguimientos!$H$2:$H$1013,MATCH(A6&amp;"|"&amp;M6,Seguimientos!$K$2:$K$1013,0)))</f>
        <v/>
      </c>
      <c r="P6" s="9">
        <f>O6/2</f>
        <v/>
      </c>
      <c r="Q6" s="7">
        <f>INDEX(Escala!$B$2:$B$6,MATCH(O6,Escala!$A$2:$A$6,0))</f>
        <v/>
      </c>
      <c r="R6" s="7">
        <f>IF(O6=2,"Sí","No")</f>
        <v/>
      </c>
      <c r="S6" s="7">
        <f>IF(O6=0,"Sí","No")</f>
        <v/>
      </c>
      <c r="T6" s="7">
        <f>IF(AND(ISNUMBER(K6),O6&lt;2),IF(K6&lt;INDEX('Por sistema'!$D$5:$D$9,MATCH(B6,'Por sistema'!$A$5:$A$9,0)),"Sí","No"),"No")</f>
        <v/>
      </c>
    </row>
    <row r="7">
      <c r="A7" s="7" t="inlineStr">
        <is>
          <t>sgc-2022-5</t>
        </is>
      </c>
      <c r="B7" s="7" t="inlineStr">
        <is>
          <t>SGC</t>
        </is>
      </c>
      <c r="C7" s="7" t="inlineStr">
        <is>
          <t>Sistema de Gestión de Calidad</t>
        </is>
      </c>
      <c r="D7" s="7" t="inlineStr">
        <is>
          <t>2022</t>
        </is>
      </c>
      <c r="E7" s="7" t="n">
        <v>5</v>
      </c>
      <c r="F7" s="13" t="inlineStr">
        <is>
          <t>Cambiar metodología de riesgos y oportunidades</t>
        </is>
      </c>
      <c r="G7" s="13" t="inlineStr">
        <is>
          <t>Coordinación de calidad y dirección de Control Interno</t>
        </is>
      </c>
      <c r="H7" s="13" t="inlineStr">
        <is>
          <t>Control Interno, Calidad</t>
        </is>
      </c>
      <c r="I7" s="13" t="inlineStr">
        <is>
          <t>Ajustar la metodología de gestión de los riesgos y las oportunidades, con el fin de incrementar la rigurosidad de las calificaciones y el seguimiento.</t>
        </is>
      </c>
      <c r="J7" s="13" t="inlineStr">
        <is>
          <t>45261</t>
        </is>
      </c>
      <c r="K7" s="8" t="n">
        <v>45261</v>
      </c>
      <c r="L7" s="7">
        <f>COUNTIF(Seguimientos!$A$2:$A$1013,A7)</f>
        <v/>
      </c>
      <c r="M7" s="7">
        <f>SUMPRODUCT(MAX((Seguimientos!$A$2:$A$1013=A7)*(Seguimientos!$H$2:$H$1013&lt;&gt;"")*Seguimientos!$B$2:$B$1013))</f>
        <v/>
      </c>
      <c r="N7" s="8">
        <f>IF(M7=0,"",INDEX(Seguimientos!$F$2:$F$1013,MATCH(A7&amp;"|"&amp;M7,Seguimientos!$K$2:$K$1013,0)))</f>
        <v/>
      </c>
      <c r="O7" s="14">
        <f>IF(M7=0,0,INDEX(Seguimientos!$H$2:$H$1013,MATCH(A7&amp;"|"&amp;M7,Seguimientos!$K$2:$K$1013,0)))</f>
        <v/>
      </c>
      <c r="P7" s="9">
        <f>O7/2</f>
        <v/>
      </c>
      <c r="Q7" s="7">
        <f>INDEX(Escala!$B$2:$B$6,MATCH(O7,Escala!$A$2:$A$6,0))</f>
        <v/>
      </c>
      <c r="R7" s="7">
        <f>IF(O7=2,"Sí","No")</f>
        <v/>
      </c>
      <c r="S7" s="7">
        <f>IF(O7=0,"Sí","No")</f>
        <v/>
      </c>
      <c r="T7" s="7">
        <f>IF(AND(ISNUMBER(K7),O7&lt;2),IF(K7&lt;INDEX('Por sistema'!$D$5:$D$9,MATCH(B7,'Por sistema'!$A$5:$A$9,0)),"Sí","No"),"No")</f>
        <v/>
      </c>
    </row>
    <row r="8">
      <c r="A8" s="7" t="inlineStr">
        <is>
          <t>sgc-2022-6</t>
        </is>
      </c>
      <c r="B8" s="7" t="inlineStr">
        <is>
          <t>SGC</t>
        </is>
      </c>
      <c r="C8" s="7" t="inlineStr">
        <is>
          <t>Sistema de Gestión de Calidad</t>
        </is>
      </c>
      <c r="D8" s="7" t="inlineStr">
        <is>
          <t>2022</t>
        </is>
      </c>
      <c r="E8" s="7" t="n">
        <v>6</v>
      </c>
      <c r="F8" s="13" t="inlineStr">
        <is>
          <t>De la vigencia 2019 a la vigencia 2022 se presentan en total 26 planes de mejoramiento con categoría oportunidades de mejora propias de las cuales 18 se encuentran cerradas, 7 en ejecución y una en estado agregado. En relación con el impacto se concluye que las oportunidades de mejora propias han ayudado en un 35% mejorar métodos para estructurar roles, responsabilidades y tareas, seguida de un 27% en mejoras tecnológicas que permitan reducir tiempos de operación seguido de un 23% en la mejora de controles internos que aseguren resultados alineados a la estrategia y finalmente mejoras en los métodos de trabajo con un 15%.</t>
        </is>
      </c>
      <c r="G8" s="13" t="inlineStr">
        <is>
          <t>Coordinación de calidad y Control interno</t>
        </is>
      </c>
      <c r="H8" s="13" t="inlineStr">
        <is>
          <t>Control Interno, Calidad</t>
        </is>
      </c>
      <c r="I8" s="13" t="inlineStr">
        <is>
          <t>Determinar la ruta crítica de procedimientos que tengan el mayor porcentaje de no conformidades reiterativas para generar revisión y ajuste a sus controles con enfoque preventivo desde la metodología de riesgos y oportunidades.</t>
        </is>
      </c>
      <c r="J8" s="13" t="inlineStr">
        <is>
          <t>45261</t>
        </is>
      </c>
      <c r="K8" s="8" t="n">
        <v>45261</v>
      </c>
      <c r="L8" s="7">
        <f>COUNTIF(Seguimientos!$A$2:$A$1013,A8)</f>
        <v/>
      </c>
      <c r="M8" s="7">
        <f>SUMPRODUCT(MAX((Seguimientos!$A$2:$A$1013=A8)*(Seguimientos!$H$2:$H$1013&lt;&gt;"")*Seguimientos!$B$2:$B$1013))</f>
        <v/>
      </c>
      <c r="N8" s="8">
        <f>IF(M8=0,"",INDEX(Seguimientos!$F$2:$F$1013,MATCH(A8&amp;"|"&amp;M8,Seguimientos!$K$2:$K$1013,0)))</f>
        <v/>
      </c>
      <c r="O8" s="14">
        <f>IF(M8=0,0,INDEX(Seguimientos!$H$2:$H$1013,MATCH(A8&amp;"|"&amp;M8,Seguimientos!$K$2:$K$1013,0)))</f>
        <v/>
      </c>
      <c r="P8" s="9">
        <f>O8/2</f>
        <v/>
      </c>
      <c r="Q8" s="7">
        <f>INDEX(Escala!$B$2:$B$6,MATCH(O8,Escala!$A$2:$A$6,0))</f>
        <v/>
      </c>
      <c r="R8" s="7">
        <f>IF(O8=2,"Sí","No")</f>
        <v/>
      </c>
      <c r="S8" s="7">
        <f>IF(O8=0,"Sí","No")</f>
        <v/>
      </c>
      <c r="T8" s="7">
        <f>IF(AND(ISNUMBER(K8),O8&lt;2),IF(K8&lt;INDEX('Por sistema'!$D$5:$D$9,MATCH(B8,'Por sistema'!$A$5:$A$9,0)),"Sí","No"),"No")</f>
        <v/>
      </c>
    </row>
    <row r="9">
      <c r="A9" s="7" t="inlineStr">
        <is>
          <t>sgc-2022-7</t>
        </is>
      </c>
      <c r="B9" s="7" t="inlineStr">
        <is>
          <t>SGC</t>
        </is>
      </c>
      <c r="C9" s="7" t="inlineStr">
        <is>
          <t>Sistema de Gestión de Calidad</t>
        </is>
      </c>
      <c r="D9" s="7" t="inlineStr">
        <is>
          <t>2022</t>
        </is>
      </c>
      <c r="E9" s="7" t="n">
        <v>7</v>
      </c>
      <c r="F9" s="13" t="inlineStr">
        <is>
          <t>El incumplimiento en los métodos de trabajo es la mayor causa en no conformidades; sin embargo, es la solución de mejora que más se da en todas las oportunidades de mejora revisadas, se propone generar una ruta crítica de procedimientos que tengan el mayor porcentaje de no conformidades reiterativas para generar revisión a sus controles.</t>
        </is>
      </c>
      <c r="G9" s="13" t="inlineStr">
        <is>
          <t>Coordinación de Calidad Dirección de Control Interno</t>
        </is>
      </c>
      <c r="H9" s="13" t="inlineStr">
        <is>
          <t>Control Interno, Calidad</t>
        </is>
      </c>
      <c r="I9" s="13" t="inlineStr">
        <is>
          <t>Generar una ruta crítica de procedimientos y/o procesos que tengan el mayor porcentaje de no conformidades reiterativas y generar ajustes a los controles operacionales.</t>
        </is>
      </c>
      <c r="J9" s="13" t="inlineStr">
        <is>
          <t>45261</t>
        </is>
      </c>
      <c r="K9" s="8" t="n">
        <v>45261</v>
      </c>
      <c r="L9" s="7">
        <f>COUNTIF(Seguimientos!$A$2:$A$1013,A9)</f>
        <v/>
      </c>
      <c r="M9" s="7">
        <f>SUMPRODUCT(MAX((Seguimientos!$A$2:$A$1013=A9)*(Seguimientos!$H$2:$H$1013&lt;&gt;"")*Seguimientos!$B$2:$B$1013))</f>
        <v/>
      </c>
      <c r="N9" s="8">
        <f>IF(M9=0,"",INDEX(Seguimientos!$F$2:$F$1013,MATCH(A9&amp;"|"&amp;M9,Seguimientos!$K$2:$K$1013,0)))</f>
        <v/>
      </c>
      <c r="O9" s="14">
        <f>IF(M9=0,0,INDEX(Seguimientos!$H$2:$H$1013,MATCH(A9&amp;"|"&amp;M9,Seguimientos!$K$2:$K$1013,0)))</f>
        <v/>
      </c>
      <c r="P9" s="9">
        <f>O9/2</f>
        <v/>
      </c>
      <c r="Q9" s="7">
        <f>INDEX(Escala!$B$2:$B$6,MATCH(O9,Escala!$A$2:$A$6,0))</f>
        <v/>
      </c>
      <c r="R9" s="7">
        <f>IF(O9=2,"Sí","No")</f>
        <v/>
      </c>
      <c r="S9" s="7">
        <f>IF(O9=0,"Sí","No")</f>
        <v/>
      </c>
      <c r="T9" s="7">
        <f>IF(AND(ISNUMBER(K9),O9&lt;2),IF(K9&lt;INDEX('Por sistema'!$D$5:$D$9,MATCH(B9,'Por sistema'!$A$5:$A$9,0)),"Sí","No"),"No")</f>
        <v/>
      </c>
    </row>
    <row r="10">
      <c r="A10" s="7" t="inlineStr">
        <is>
          <t>sgc-2023-1</t>
        </is>
      </c>
      <c r="B10" s="7" t="inlineStr">
        <is>
          <t>SGC</t>
        </is>
      </c>
      <c r="C10" s="7" t="inlineStr">
        <is>
          <t>Sistema de Gestión de Calidad</t>
        </is>
      </c>
      <c r="D10" s="7" t="inlineStr">
        <is>
          <t>2023</t>
        </is>
      </c>
      <c r="E10" s="7" t="n">
        <v>1</v>
      </c>
      <c r="F10" s="13" t="inlineStr">
        <is>
          <t>Hacer un segundo seguimiento a las decisiones pendientes de años anteriores por parte de Control Interno antes de que llegue la auditoría de certificación.</t>
        </is>
      </c>
      <c r="G10" s="13" t="inlineStr">
        <is>
          <t>Control Interno</t>
        </is>
      </c>
      <c r="H10" s="13" t="inlineStr">
        <is>
          <t>Control Interno</t>
        </is>
      </c>
      <c r="I10" s="13" t="inlineStr">
        <is>
          <t>Informe o matriz de seguimiento a las decisiones pendientes de vigencias anteriores.</t>
        </is>
      </c>
      <c r="J10" s="13" t="inlineStr">
        <is>
          <t>Inmediato</t>
        </is>
      </c>
      <c r="K10" s="8" t="n"/>
      <c r="L10" s="7">
        <f>COUNTIF(Seguimientos!$A$2:$A$1013,A10)</f>
        <v/>
      </c>
      <c r="M10" s="7">
        <f>SUMPRODUCT(MAX((Seguimientos!$A$2:$A$1013=A10)*(Seguimientos!$H$2:$H$1013&lt;&gt;"")*Seguimientos!$B$2:$B$1013))</f>
        <v/>
      </c>
      <c r="N10" s="8">
        <f>IF(M10=0,"",INDEX(Seguimientos!$F$2:$F$1013,MATCH(A10&amp;"|"&amp;M10,Seguimientos!$K$2:$K$1013,0)))</f>
        <v/>
      </c>
      <c r="O10" s="14">
        <f>IF(M10=0,0,INDEX(Seguimientos!$H$2:$H$1013,MATCH(A10&amp;"|"&amp;M10,Seguimientos!$K$2:$K$1013,0)))</f>
        <v/>
      </c>
      <c r="P10" s="9">
        <f>O10/2</f>
        <v/>
      </c>
      <c r="Q10" s="7">
        <f>INDEX(Escala!$B$2:$B$6,MATCH(O10,Escala!$A$2:$A$6,0))</f>
        <v/>
      </c>
      <c r="R10" s="7">
        <f>IF(O10=2,"Sí","No")</f>
        <v/>
      </c>
      <c r="S10" s="7">
        <f>IF(O10=0,"Sí","No")</f>
        <v/>
      </c>
      <c r="T10" s="7">
        <f>IF(AND(ISNUMBER(K10),O10&lt;2),IF(K10&lt;INDEX('Por sistema'!$D$5:$D$9,MATCH(B10,'Por sistema'!$A$5:$A$9,0)),"Sí","No"),"No")</f>
        <v/>
      </c>
    </row>
    <row r="11">
      <c r="A11" s="7" t="inlineStr">
        <is>
          <t>sgc-2023-2</t>
        </is>
      </c>
      <c r="B11" s="7" t="inlineStr">
        <is>
          <t>SGC</t>
        </is>
      </c>
      <c r="C11" s="7" t="inlineStr">
        <is>
          <t>Sistema de Gestión de Calidad</t>
        </is>
      </c>
      <c r="D11" s="7" t="inlineStr">
        <is>
          <t>2023</t>
        </is>
      </c>
      <c r="E11" s="7" t="n">
        <v>2</v>
      </c>
      <c r="F11" s="13" t="inlineStr">
        <is>
          <t>Coordinar una mesa de trabajo desde la Dirección de Planeación junto con la Dirección de Sistemas, la Dirección de Bienes y Servicios, y la Jefatura de Recursos Físicos, a más tardar el día 10 de noviembre para atender lo antes posible lo relacionado con el Data Center.</t>
        </is>
      </c>
      <c r="G11" s="13" t="inlineStr">
        <is>
          <t>Dirección de Planeación</t>
        </is>
      </c>
      <c r="H11" s="13" t="inlineStr">
        <is>
          <t>Planeación Institucional</t>
        </is>
      </c>
      <c r="I11" s="13" t="inlineStr">
        <is>
          <t>Registro de asistencia de la sesión de trabajo o grabación de la reunión.</t>
        </is>
      </c>
      <c r="J11" s="13" t="inlineStr">
        <is>
          <t>45240</t>
        </is>
      </c>
      <c r="K11" s="8" t="n">
        <v>45240</v>
      </c>
      <c r="L11" s="7">
        <f>COUNTIF(Seguimientos!$A$2:$A$1013,A11)</f>
        <v/>
      </c>
      <c r="M11" s="7">
        <f>SUMPRODUCT(MAX((Seguimientos!$A$2:$A$1013=A11)*(Seguimientos!$H$2:$H$1013&lt;&gt;"")*Seguimientos!$B$2:$B$1013))</f>
        <v/>
      </c>
      <c r="N11" s="8">
        <f>IF(M11=0,"",INDEX(Seguimientos!$F$2:$F$1013,MATCH(A11&amp;"|"&amp;M11,Seguimientos!$K$2:$K$1013,0)))</f>
        <v/>
      </c>
      <c r="O11" s="14">
        <f>IF(M11=0,0,INDEX(Seguimientos!$H$2:$H$1013,MATCH(A11&amp;"|"&amp;M11,Seguimientos!$K$2:$K$1013,0)))</f>
        <v/>
      </c>
      <c r="P11" s="9">
        <f>O11/2</f>
        <v/>
      </c>
      <c r="Q11" s="7">
        <f>INDEX(Escala!$B$2:$B$6,MATCH(O11,Escala!$A$2:$A$6,0))</f>
        <v/>
      </c>
      <c r="R11" s="7">
        <f>IF(O11=2,"Sí","No")</f>
        <v/>
      </c>
      <c r="S11" s="7">
        <f>IF(O11=0,"Sí","No")</f>
        <v/>
      </c>
      <c r="T11" s="7">
        <f>IF(AND(ISNUMBER(K11),O11&lt;2),IF(K11&lt;INDEX('Por sistema'!$D$5:$D$9,MATCH(B11,'Por sistema'!$A$5:$A$9,0)),"Sí","No"),"No")</f>
        <v/>
      </c>
    </row>
    <row r="12">
      <c r="A12" s="7" t="inlineStr">
        <is>
          <t>sgc-2023-3</t>
        </is>
      </c>
      <c r="B12" s="7" t="inlineStr">
        <is>
          <t>SGC</t>
        </is>
      </c>
      <c r="C12" s="7" t="inlineStr">
        <is>
          <t>Sistema de Gestión de Calidad</t>
        </is>
      </c>
      <c r="D12" s="7" t="inlineStr">
        <is>
          <t>2023</t>
        </is>
      </c>
      <c r="E12" s="7" t="n">
        <v>3</v>
      </c>
      <c r="F12" s="13" t="inlineStr">
        <is>
          <t>Dar continuidad a las mesas de trabajo, capacitaciones virtuales y jornadas de sensibilización, dirigidas a las áreas solicitantes.</t>
        </is>
      </c>
      <c r="G12" s="13" t="inlineStr">
        <is>
          <t>Jefatura de Compras</t>
        </is>
      </c>
      <c r="H12" s="13" t="inlineStr">
        <is>
          <t>Bienes, Servicios y Compras</t>
        </is>
      </c>
      <c r="I12" s="13" t="inlineStr">
        <is>
          <t>Registro de asistencia de la sesión de trabajo o grabación de la reunión.</t>
        </is>
      </c>
      <c r="J12" s="13" t="inlineStr">
        <is>
          <t>Una capacitación antes del 17-11-2023, una en febrero de 2024 y otra en julio de 2024.</t>
        </is>
      </c>
      <c r="K12" s="8" t="n"/>
      <c r="L12" s="7">
        <f>COUNTIF(Seguimientos!$A$2:$A$1013,A12)</f>
        <v/>
      </c>
      <c r="M12" s="7">
        <f>SUMPRODUCT(MAX((Seguimientos!$A$2:$A$1013=A12)*(Seguimientos!$H$2:$H$1013&lt;&gt;"")*Seguimientos!$B$2:$B$1013))</f>
        <v/>
      </c>
      <c r="N12" s="8">
        <f>IF(M12=0,"",INDEX(Seguimientos!$F$2:$F$1013,MATCH(A12&amp;"|"&amp;M12,Seguimientos!$K$2:$K$1013,0)))</f>
        <v/>
      </c>
      <c r="O12" s="14">
        <f>IF(M12=0,0,INDEX(Seguimientos!$H$2:$H$1013,MATCH(A12&amp;"|"&amp;M12,Seguimientos!$K$2:$K$1013,0)))</f>
        <v/>
      </c>
      <c r="P12" s="9">
        <f>O12/2</f>
        <v/>
      </c>
      <c r="Q12" s="7">
        <f>INDEX(Escala!$B$2:$B$6,MATCH(O12,Escala!$A$2:$A$6,0))</f>
        <v/>
      </c>
      <c r="R12" s="7">
        <f>IF(O12=2,"Sí","No")</f>
        <v/>
      </c>
      <c r="S12" s="7">
        <f>IF(O12=0,"Sí","No")</f>
        <v/>
      </c>
      <c r="T12" s="7">
        <f>IF(AND(ISNUMBER(K12),O12&lt;2),IF(K12&lt;INDEX('Por sistema'!$D$5:$D$9,MATCH(B12,'Por sistema'!$A$5:$A$9,0)),"Sí","No"),"No")</f>
        <v/>
      </c>
    </row>
    <row r="13">
      <c r="A13" s="7" t="inlineStr">
        <is>
          <t>sgc-2023-4</t>
        </is>
      </c>
      <c r="B13" s="7" t="inlineStr">
        <is>
          <t>SGC</t>
        </is>
      </c>
      <c r="C13" s="7" t="inlineStr">
        <is>
          <t>Sistema de Gestión de Calidad</t>
        </is>
      </c>
      <c r="D13" s="7" t="inlineStr">
        <is>
          <t>2023</t>
        </is>
      </c>
      <c r="E13" s="7" t="n">
        <v>4</v>
      </c>
      <c r="F13" s="13" t="inlineStr">
        <is>
          <t>Socializar a las áreas con el respaldo de las vicerrectorías y la Secretaría General, las demostraciones correspondientes a los sistemas de información académico, financiero y administrativo.</t>
        </is>
      </c>
      <c r="G13" s="13" t="inlineStr">
        <is>
          <t>Dirección de Sistemas y Tecnología</t>
        </is>
      </c>
      <c r="H13" s="13" t="inlineStr">
        <is>
          <t>Sistemas y Tecnología</t>
        </is>
      </c>
      <c r="I13" s="13" t="inlineStr">
        <is>
          <t>Registro de asistencia de las sesiones de trabajo y socializaciones a las diferentes áreas.</t>
        </is>
      </c>
      <c r="J13" s="13" t="inlineStr">
        <is>
          <t>45275</t>
        </is>
      </c>
      <c r="K13" s="8" t="n">
        <v>45275</v>
      </c>
      <c r="L13" s="7">
        <f>COUNTIF(Seguimientos!$A$2:$A$1013,A13)</f>
        <v/>
      </c>
      <c r="M13" s="7">
        <f>SUMPRODUCT(MAX((Seguimientos!$A$2:$A$1013=A13)*(Seguimientos!$H$2:$H$1013&lt;&gt;"")*Seguimientos!$B$2:$B$1013))</f>
        <v/>
      </c>
      <c r="N13" s="8">
        <f>IF(M13=0,"",INDEX(Seguimientos!$F$2:$F$1013,MATCH(A13&amp;"|"&amp;M13,Seguimientos!$K$2:$K$1013,0)))</f>
        <v/>
      </c>
      <c r="O13" s="14">
        <f>IF(M13=0,0,INDEX(Seguimientos!$H$2:$H$1013,MATCH(A13&amp;"|"&amp;M13,Seguimientos!$K$2:$K$1013,0)))</f>
        <v/>
      </c>
      <c r="P13" s="9">
        <f>O13/2</f>
        <v/>
      </c>
      <c r="Q13" s="7">
        <f>INDEX(Escala!$B$2:$B$6,MATCH(O13,Escala!$A$2:$A$6,0))</f>
        <v/>
      </c>
      <c r="R13" s="7">
        <f>IF(O13=2,"Sí","No")</f>
        <v/>
      </c>
      <c r="S13" s="7">
        <f>IF(O13=0,"Sí","No")</f>
        <v/>
      </c>
      <c r="T13" s="7">
        <f>IF(AND(ISNUMBER(K13),O13&lt;2),IF(K13&lt;INDEX('Por sistema'!$D$5:$D$9,MATCH(B13,'Por sistema'!$A$5:$A$9,0)),"Sí","No"),"No")</f>
        <v/>
      </c>
    </row>
    <row r="14">
      <c r="A14" s="7" t="inlineStr">
        <is>
          <t>sgc-2023-5</t>
        </is>
      </c>
      <c r="B14" s="7" t="inlineStr">
        <is>
          <t>SGC</t>
        </is>
      </c>
      <c r="C14" s="7" t="inlineStr">
        <is>
          <t>Sistema de Gestión de Calidad</t>
        </is>
      </c>
      <c r="D14" s="7" t="inlineStr">
        <is>
          <t>2023</t>
        </is>
      </c>
      <c r="E14" s="7" t="n">
        <v>5</v>
      </c>
      <c r="F14" s="13" t="inlineStr">
        <is>
          <t>Solicitar a los procesos que están presentando indicadores con incumplimiento y que actualmente no cuentan con planes de mejoramiento, generar para cada uno de estos, un plan de mejoramiento con el fin de fortalecer los resultados y dar un cierre eficaz a corte de diciembre 2023. En caso de que cuenten con plan de mejoramiento, este se debe revisar y ajustar según corresponda.</t>
        </is>
      </c>
      <c r="G14" s="13" t="inlineStr">
        <is>
          <t>Oficina de Calidad - Líderes de los procesos</t>
        </is>
      </c>
      <c r="H14" s="13" t="inlineStr">
        <is>
          <t>Calidad</t>
        </is>
      </c>
      <c r="I14" s="13" t="inlineStr">
        <is>
          <t>Planes de mejoramiento generados y cargados en el aplicativo correspondiente por los procesos para el fortalecimiento de los resultados de indicadores de gestión.</t>
        </is>
      </c>
      <c r="J14" s="13" t="inlineStr">
        <is>
          <t>45291</t>
        </is>
      </c>
      <c r="K14" s="8" t="n">
        <v>45291</v>
      </c>
      <c r="L14" s="7">
        <f>COUNTIF(Seguimientos!$A$2:$A$1013,A14)</f>
        <v/>
      </c>
      <c r="M14" s="7">
        <f>SUMPRODUCT(MAX((Seguimientos!$A$2:$A$1013=A14)*(Seguimientos!$H$2:$H$1013&lt;&gt;"")*Seguimientos!$B$2:$B$1013))</f>
        <v/>
      </c>
      <c r="N14" s="8">
        <f>IF(M14=0,"",INDEX(Seguimientos!$F$2:$F$1013,MATCH(A14&amp;"|"&amp;M14,Seguimientos!$K$2:$K$1013,0)))</f>
        <v/>
      </c>
      <c r="O14" s="14">
        <f>IF(M14=0,0,INDEX(Seguimientos!$H$2:$H$1013,MATCH(A14&amp;"|"&amp;M14,Seguimientos!$K$2:$K$1013,0)))</f>
        <v/>
      </c>
      <c r="P14" s="9">
        <f>O14/2</f>
        <v/>
      </c>
      <c r="Q14" s="7">
        <f>INDEX(Escala!$B$2:$B$6,MATCH(O14,Escala!$A$2:$A$6,0))</f>
        <v/>
      </c>
      <c r="R14" s="7">
        <f>IF(O14=2,"Sí","No")</f>
        <v/>
      </c>
      <c r="S14" s="7">
        <f>IF(O14=0,"Sí","No")</f>
        <v/>
      </c>
      <c r="T14" s="7">
        <f>IF(AND(ISNUMBER(K14),O14&lt;2),IF(K14&lt;INDEX('Por sistema'!$D$5:$D$9,MATCH(B14,'Por sistema'!$A$5:$A$9,0)),"Sí","No"),"No")</f>
        <v/>
      </c>
    </row>
    <row r="15">
      <c r="A15" s="7" t="inlineStr">
        <is>
          <t>sgc-2023-6</t>
        </is>
      </c>
      <c r="B15" s="7" t="inlineStr">
        <is>
          <t>SGC</t>
        </is>
      </c>
      <c r="C15" s="7" t="inlineStr">
        <is>
          <t>Sistema de Gestión de Calidad</t>
        </is>
      </c>
      <c r="D15" s="7" t="inlineStr">
        <is>
          <t>2023</t>
        </is>
      </c>
      <c r="E15" s="7" t="n">
        <v>6</v>
      </c>
      <c r="F15" s="13" t="inlineStr">
        <is>
          <t>Actualizar el Plan Estratégico de Seguridad Vial y sus anexos.</t>
        </is>
      </c>
      <c r="G15" s="13" t="inlineStr">
        <is>
          <t>Oficina de Recursos Físicos</t>
        </is>
      </c>
      <c r="H15" s="13" t="inlineStr">
        <is>
          <t>Recursos Físicos</t>
        </is>
      </c>
      <c r="I15" s="13" t="inlineStr">
        <is>
          <t>Plan Estratégico de Seguridad Vial y sus anexos actualizados.</t>
        </is>
      </c>
      <c r="J15" s="13" t="inlineStr">
        <is>
          <t>diciembre 2023</t>
        </is>
      </c>
      <c r="K15" s="8" t="n"/>
      <c r="L15" s="7">
        <f>COUNTIF(Seguimientos!$A$2:$A$1013,A15)</f>
        <v/>
      </c>
      <c r="M15" s="7">
        <f>SUMPRODUCT(MAX((Seguimientos!$A$2:$A$1013=A15)*(Seguimientos!$H$2:$H$1013&lt;&gt;"")*Seguimientos!$B$2:$B$1013))</f>
        <v/>
      </c>
      <c r="N15" s="8">
        <f>IF(M15=0,"",INDEX(Seguimientos!$F$2:$F$1013,MATCH(A15&amp;"|"&amp;M15,Seguimientos!$K$2:$K$1013,0)))</f>
        <v/>
      </c>
      <c r="O15" s="14">
        <f>IF(M15=0,0,INDEX(Seguimientos!$H$2:$H$1013,MATCH(A15&amp;"|"&amp;M15,Seguimientos!$K$2:$K$1013,0)))</f>
        <v/>
      </c>
      <c r="P15" s="9">
        <f>O15/2</f>
        <v/>
      </c>
      <c r="Q15" s="7">
        <f>INDEX(Escala!$B$2:$B$6,MATCH(O15,Escala!$A$2:$A$6,0))</f>
        <v/>
      </c>
      <c r="R15" s="7">
        <f>IF(O15=2,"Sí","No")</f>
        <v/>
      </c>
      <c r="S15" s="7">
        <f>IF(O15=0,"Sí","No")</f>
        <v/>
      </c>
      <c r="T15" s="7">
        <f>IF(AND(ISNUMBER(K15),O15&lt;2),IF(K15&lt;INDEX('Por sistema'!$D$5:$D$9,MATCH(B15,'Por sistema'!$A$5:$A$9,0)),"Sí","No"),"No")</f>
        <v/>
      </c>
    </row>
    <row r="16">
      <c r="A16" s="7" t="inlineStr">
        <is>
          <t>sgc-2023-7</t>
        </is>
      </c>
      <c r="B16" s="7" t="inlineStr">
        <is>
          <t>SGC</t>
        </is>
      </c>
      <c r="C16" s="7" t="inlineStr">
        <is>
          <t>Sistema de Gestión de Calidad</t>
        </is>
      </c>
      <c r="D16" s="7" t="inlineStr">
        <is>
          <t>2023</t>
        </is>
      </c>
      <c r="E16" s="7" t="n">
        <v>7</v>
      </c>
      <c r="F16" s="13" t="inlineStr">
        <is>
          <t>Como parte de las acciones de los resultados de la encuesta de satisfacción, se debe establecer un plan de trabajo con aquellos procesos que no alcanzaron un nivel de satisfacción de conformidad con el indicador propuesto, con el fin de evidenciar mejora con la segunda encuesta que se está aplicando en este momento. Responsable.</t>
        </is>
      </c>
      <c r="G16" s="13" t="inlineStr">
        <is>
          <t>Dirección de Planeación</t>
        </is>
      </c>
      <c r="H16" s="13" t="inlineStr">
        <is>
          <t>Planeación Institucional</t>
        </is>
      </c>
      <c r="I16" s="13" t="inlineStr">
        <is>
          <t>Cronograma del plan de trabajo con los procesos que no hayan alcanzado el nivel propuesto por el indicador.</t>
        </is>
      </c>
      <c r="J16" s="13" t="inlineStr">
        <is>
          <t>diciembre 2023</t>
        </is>
      </c>
      <c r="K16" s="8" t="n"/>
      <c r="L16" s="7">
        <f>COUNTIF(Seguimientos!$A$2:$A$1013,A16)</f>
        <v/>
      </c>
      <c r="M16" s="7">
        <f>SUMPRODUCT(MAX((Seguimientos!$A$2:$A$1013=A16)*(Seguimientos!$H$2:$H$1013&lt;&gt;"")*Seguimientos!$B$2:$B$1013))</f>
        <v/>
      </c>
      <c r="N16" s="8">
        <f>IF(M16=0,"",INDEX(Seguimientos!$F$2:$F$1013,MATCH(A16&amp;"|"&amp;M16,Seguimientos!$K$2:$K$1013,0)))</f>
        <v/>
      </c>
      <c r="O16" s="14">
        <f>IF(M16=0,0,INDEX(Seguimientos!$H$2:$H$1013,MATCH(A16&amp;"|"&amp;M16,Seguimientos!$K$2:$K$1013,0)))</f>
        <v/>
      </c>
      <c r="P16" s="9">
        <f>O16/2</f>
        <v/>
      </c>
      <c r="Q16" s="7">
        <f>INDEX(Escala!$B$2:$B$6,MATCH(O16,Escala!$A$2:$A$6,0))</f>
        <v/>
      </c>
      <c r="R16" s="7">
        <f>IF(O16=2,"Sí","No")</f>
        <v/>
      </c>
      <c r="S16" s="7">
        <f>IF(O16=0,"Sí","No")</f>
        <v/>
      </c>
      <c r="T16" s="7">
        <f>IF(AND(ISNUMBER(K16),O16&lt;2),IF(K16&lt;INDEX('Por sistema'!$D$5:$D$9,MATCH(B16,'Por sistema'!$A$5:$A$9,0)),"Sí","No"),"No")</f>
        <v/>
      </c>
    </row>
    <row r="17">
      <c r="A17" s="7" t="inlineStr">
        <is>
          <t>sgc-2023-8</t>
        </is>
      </c>
      <c r="B17" s="7" t="inlineStr">
        <is>
          <t>SGC</t>
        </is>
      </c>
      <c r="C17" s="7" t="inlineStr">
        <is>
          <t>Sistema de Gestión de Calidad</t>
        </is>
      </c>
      <c r="D17" s="7" t="inlineStr">
        <is>
          <t>2023</t>
        </is>
      </c>
      <c r="E17" s="7" t="n">
        <v>8</v>
      </c>
      <c r="F17" s="13" t="inlineStr">
        <is>
          <t>Realizar el cierre de los objetivos establecidos en la Resolución 096 de 2021, con corte a diciembre 2023 y llevar el análisis de los resultados al comité SAC para la toma de decisiones que sea pertinente.</t>
        </is>
      </c>
      <c r="G17" s="13" t="inlineStr">
        <is>
          <t>Oficina de Calidad</t>
        </is>
      </c>
      <c r="H17" s="13" t="inlineStr">
        <is>
          <t>Calidad</t>
        </is>
      </c>
      <c r="I17" s="13" t="inlineStr">
        <is>
          <t>Informe de cierre de los objetivos establecidos en la Resolución 096 de 2021, con corte a diciembre 2023 y acta de la sesión de comité SAC con el punto del informe socializado.</t>
        </is>
      </c>
      <c r="J17" s="13" t="inlineStr">
        <is>
          <t>45351</t>
        </is>
      </c>
      <c r="K17" s="8" t="n">
        <v>45351</v>
      </c>
      <c r="L17" s="7">
        <f>COUNTIF(Seguimientos!$A$2:$A$1013,A17)</f>
        <v/>
      </c>
      <c r="M17" s="7">
        <f>SUMPRODUCT(MAX((Seguimientos!$A$2:$A$1013=A17)*(Seguimientos!$H$2:$H$1013&lt;&gt;"")*Seguimientos!$B$2:$B$1013))</f>
        <v/>
      </c>
      <c r="N17" s="8">
        <f>IF(M17=0,"",INDEX(Seguimientos!$F$2:$F$1013,MATCH(A17&amp;"|"&amp;M17,Seguimientos!$K$2:$K$1013,0)))</f>
        <v/>
      </c>
      <c r="O17" s="14">
        <f>IF(M17=0,0,INDEX(Seguimientos!$H$2:$H$1013,MATCH(A17&amp;"|"&amp;M17,Seguimientos!$K$2:$K$1013,0)))</f>
        <v/>
      </c>
      <c r="P17" s="9">
        <f>O17/2</f>
        <v/>
      </c>
      <c r="Q17" s="7">
        <f>INDEX(Escala!$B$2:$B$6,MATCH(O17,Escala!$A$2:$A$6,0))</f>
        <v/>
      </c>
      <c r="R17" s="7">
        <f>IF(O17=2,"Sí","No")</f>
        <v/>
      </c>
      <c r="S17" s="7">
        <f>IF(O17=0,"Sí","No")</f>
        <v/>
      </c>
      <c r="T17" s="7">
        <f>IF(AND(ISNUMBER(K17),O17&lt;2),IF(K17&lt;INDEX('Por sistema'!$D$5:$D$9,MATCH(B17,'Por sistema'!$A$5:$A$9,0)),"Sí","No"),"No")</f>
        <v/>
      </c>
    </row>
    <row r="18">
      <c r="A18" s="7" t="inlineStr">
        <is>
          <t>sgc-2023-9</t>
        </is>
      </c>
      <c r="B18" s="7" t="inlineStr">
        <is>
          <t>SGC</t>
        </is>
      </c>
      <c r="C18" s="7" t="inlineStr">
        <is>
          <t>Sistema de Gestión de Calidad</t>
        </is>
      </c>
      <c r="D18" s="7" t="inlineStr">
        <is>
          <t>2023</t>
        </is>
      </c>
      <c r="E18" s="7" t="n">
        <v>9</v>
      </c>
      <c r="F18" s="13" t="inlineStr">
        <is>
          <t>Documentar los lineamientos de control de acceso universitario a partir de la consolidación de un procedimiento de ingreso a planta física que actualice los lineamientos establecidos en la Resolución 307 de 2008.</t>
        </is>
      </c>
      <c r="G18" s="13" t="inlineStr">
        <is>
          <t>Oficina de Recursos Físicos</t>
        </is>
      </c>
      <c r="H18" s="13" t="inlineStr">
        <is>
          <t>Recursos Físicos</t>
        </is>
      </c>
      <c r="I18" s="13" t="inlineStr">
        <is>
          <t>Procedimiento actualizado de acuerdo a la resolución 307/2008 y cargado en el MOD.</t>
        </is>
      </c>
      <c r="J18" s="13" t="inlineStr">
        <is>
          <t>febrero 2024</t>
        </is>
      </c>
      <c r="K18" s="8" t="n"/>
      <c r="L18" s="7">
        <f>COUNTIF(Seguimientos!$A$2:$A$1013,A18)</f>
        <v/>
      </c>
      <c r="M18" s="7">
        <f>SUMPRODUCT(MAX((Seguimientos!$A$2:$A$1013=A18)*(Seguimientos!$H$2:$H$1013&lt;&gt;"")*Seguimientos!$B$2:$B$1013))</f>
        <v/>
      </c>
      <c r="N18" s="8">
        <f>IF(M18=0,"",INDEX(Seguimientos!$F$2:$F$1013,MATCH(A18&amp;"|"&amp;M18,Seguimientos!$K$2:$K$1013,0)))</f>
        <v/>
      </c>
      <c r="O18" s="14">
        <f>IF(M18=0,0,INDEX(Seguimientos!$H$2:$H$1013,MATCH(A18&amp;"|"&amp;M18,Seguimientos!$K$2:$K$1013,0)))</f>
        <v/>
      </c>
      <c r="P18" s="9">
        <f>O18/2</f>
        <v/>
      </c>
      <c r="Q18" s="7">
        <f>INDEX(Escala!$B$2:$B$6,MATCH(O18,Escala!$A$2:$A$6,0))</f>
        <v/>
      </c>
      <c r="R18" s="7">
        <f>IF(O18=2,"Sí","No")</f>
        <v/>
      </c>
      <c r="S18" s="7">
        <f>IF(O18=0,"Sí","No")</f>
        <v/>
      </c>
      <c r="T18" s="7">
        <f>IF(AND(ISNUMBER(K18),O18&lt;2),IF(K18&lt;INDEX('Por sistema'!$D$5:$D$9,MATCH(B18,'Por sistema'!$A$5:$A$9,0)),"Sí","No"),"No")</f>
        <v/>
      </c>
    </row>
    <row r="19">
      <c r="A19" s="7" t="inlineStr">
        <is>
          <t>sgc-2023-10</t>
        </is>
      </c>
      <c r="B19" s="7" t="inlineStr">
        <is>
          <t>SGC</t>
        </is>
      </c>
      <c r="C19" s="7" t="inlineStr">
        <is>
          <t>Sistema de Gestión de Calidad</t>
        </is>
      </c>
      <c r="D19" s="7" t="inlineStr">
        <is>
          <t>2023</t>
        </is>
      </c>
      <c r="E19" s="7" t="n">
        <v>10</v>
      </c>
      <c r="F19" s="13" t="inlineStr">
        <is>
          <t>Establecer las condiciones técnicas de los teléfonos para determinar si están o no en uso. Responsable.</t>
        </is>
      </c>
      <c r="G19" s="13" t="inlineStr">
        <is>
          <t>Dirección de Sistemas y Tecnología</t>
        </is>
      </c>
      <c r="H19" s="13" t="inlineStr">
        <is>
          <t>Sistemas y Tecnología</t>
        </is>
      </c>
      <c r="I19" s="13" t="inlineStr">
        <is>
          <t>Informe de condiciones técnicas de los teléfonos.</t>
        </is>
      </c>
      <c r="J19" s="13" t="inlineStr">
        <is>
          <t>febrero 2024</t>
        </is>
      </c>
      <c r="K19" s="8" t="n"/>
      <c r="L19" s="7">
        <f>COUNTIF(Seguimientos!$A$2:$A$1013,A19)</f>
        <v/>
      </c>
      <c r="M19" s="7">
        <f>SUMPRODUCT(MAX((Seguimientos!$A$2:$A$1013=A19)*(Seguimientos!$H$2:$H$1013&lt;&gt;"")*Seguimientos!$B$2:$B$1013))</f>
        <v/>
      </c>
      <c r="N19" s="8">
        <f>IF(M19=0,"",INDEX(Seguimientos!$F$2:$F$1013,MATCH(A19&amp;"|"&amp;M19,Seguimientos!$K$2:$K$1013,0)))</f>
        <v/>
      </c>
      <c r="O19" s="14">
        <f>IF(M19=0,0,INDEX(Seguimientos!$H$2:$H$1013,MATCH(A19&amp;"|"&amp;M19,Seguimientos!$K$2:$K$1013,0)))</f>
        <v/>
      </c>
      <c r="P19" s="9">
        <f>O19/2</f>
        <v/>
      </c>
      <c r="Q19" s="7">
        <f>INDEX(Escala!$B$2:$B$6,MATCH(O19,Escala!$A$2:$A$6,0))</f>
        <v/>
      </c>
      <c r="R19" s="7">
        <f>IF(O19=2,"Sí","No")</f>
        <v/>
      </c>
      <c r="S19" s="7">
        <f>IF(O19=0,"Sí","No")</f>
        <v/>
      </c>
      <c r="T19" s="7">
        <f>IF(AND(ISNUMBER(K19),O19&lt;2),IF(K19&lt;INDEX('Por sistema'!$D$5:$D$9,MATCH(B19,'Por sistema'!$A$5:$A$9,0)),"Sí","No"),"No")</f>
        <v/>
      </c>
    </row>
    <row r="20">
      <c r="A20" s="7" t="inlineStr">
        <is>
          <t>sgc-2023-11</t>
        </is>
      </c>
      <c r="B20" s="7" t="inlineStr">
        <is>
          <t>SGC</t>
        </is>
      </c>
      <c r="C20" s="7" t="inlineStr">
        <is>
          <t>Sistema de Gestión de Calidad</t>
        </is>
      </c>
      <c r="D20" s="7" t="inlineStr">
        <is>
          <t>2023</t>
        </is>
      </c>
      <c r="E20" s="7" t="n">
        <v>11</v>
      </c>
      <c r="F20" s="13" t="inlineStr">
        <is>
          <t>Implementar una metodología de planificación de prácticas académicas y/o experiencias formativas, con el fin de reducir los impactos administrativos / académicos que implican la reprogramación o cancelación de las mismas.</t>
        </is>
      </c>
      <c r="G20" s="13" t="inlineStr">
        <is>
          <t>Comité de prácticas académicas</t>
        </is>
      </c>
      <c r="H20" s="13" t="inlineStr">
        <is>
          <t>Apoyo y Desarrollo Académico</t>
        </is>
      </c>
      <c r="I20" s="13" t="inlineStr">
        <is>
          <t>Documento con la metodología a aplicar o procedimiento e instructivo actualizado.</t>
        </is>
      </c>
      <c r="J20" s="13" t="inlineStr">
        <is>
          <t>45381</t>
        </is>
      </c>
      <c r="K20" s="8" t="n">
        <v>45381</v>
      </c>
      <c r="L20" s="7">
        <f>COUNTIF(Seguimientos!$A$2:$A$1013,A20)</f>
        <v/>
      </c>
      <c r="M20" s="7">
        <f>SUMPRODUCT(MAX((Seguimientos!$A$2:$A$1013=A20)*(Seguimientos!$H$2:$H$1013&lt;&gt;"")*Seguimientos!$B$2:$B$1013))</f>
        <v/>
      </c>
      <c r="N20" s="8">
        <f>IF(M20=0,"",INDEX(Seguimientos!$F$2:$F$1013,MATCH(A20&amp;"|"&amp;M20,Seguimientos!$K$2:$K$1013,0)))</f>
        <v/>
      </c>
      <c r="O20" s="14">
        <f>IF(M20=0,0,INDEX(Seguimientos!$H$2:$H$1013,MATCH(A20&amp;"|"&amp;M20,Seguimientos!$K$2:$K$1013,0)))</f>
        <v/>
      </c>
      <c r="P20" s="9">
        <f>O20/2</f>
        <v/>
      </c>
      <c r="Q20" s="7">
        <f>INDEX(Escala!$B$2:$B$6,MATCH(O20,Escala!$A$2:$A$6,0))</f>
        <v/>
      </c>
      <c r="R20" s="7">
        <f>IF(O20=2,"Sí","No")</f>
        <v/>
      </c>
      <c r="S20" s="7">
        <f>IF(O20=0,"Sí","No")</f>
        <v/>
      </c>
      <c r="T20" s="7">
        <f>IF(AND(ISNUMBER(K20),O20&lt;2),IF(K20&lt;INDEX('Por sistema'!$D$5:$D$9,MATCH(B20,'Por sistema'!$A$5:$A$9,0)),"Sí","No"),"No")</f>
        <v/>
      </c>
    </row>
    <row r="21">
      <c r="A21" s="7" t="inlineStr">
        <is>
          <t>sgc-2023-12</t>
        </is>
      </c>
      <c r="B21" s="7" t="inlineStr">
        <is>
          <t>SGC</t>
        </is>
      </c>
      <c r="C21" s="7" t="inlineStr">
        <is>
          <t>Sistema de Gestión de Calidad</t>
        </is>
      </c>
      <c r="D21" s="7" t="inlineStr">
        <is>
          <t>2023</t>
        </is>
      </c>
      <c r="E21" s="7" t="n">
        <v>12</v>
      </c>
      <c r="F21" s="13" t="inlineStr">
        <is>
          <t>Implementar una metodología de diagnóstico y priorización de necesidades de elementos educativos, con el fin de atender las necesidades que históricamente ha requerido la academia.</t>
        </is>
      </c>
      <c r="G21" s="13" t="inlineStr">
        <is>
          <t>Unidad de Apoyo Académico</t>
        </is>
      </c>
      <c r="H21" s="13" t="inlineStr">
        <is>
          <t>Apoyo y Desarrollo Académico</t>
        </is>
      </c>
      <c r="I21" s="13" t="inlineStr">
        <is>
          <t>Metodología implementada por medio de instructivo o procedimiento. Herramienta tecnológica o digitalización de la metodología en mención, si aplica.</t>
        </is>
      </c>
      <c r="J21" s="13" t="inlineStr">
        <is>
          <t>45381</t>
        </is>
      </c>
      <c r="K21" s="8" t="n">
        <v>45381</v>
      </c>
      <c r="L21" s="7">
        <f>COUNTIF(Seguimientos!$A$2:$A$1013,A21)</f>
        <v/>
      </c>
      <c r="M21" s="7">
        <f>SUMPRODUCT(MAX((Seguimientos!$A$2:$A$1013=A21)*(Seguimientos!$H$2:$H$1013&lt;&gt;"")*Seguimientos!$B$2:$B$1013))</f>
        <v/>
      </c>
      <c r="N21" s="8">
        <f>IF(M21=0,"",INDEX(Seguimientos!$F$2:$F$1013,MATCH(A21&amp;"|"&amp;M21,Seguimientos!$K$2:$K$1013,0)))</f>
        <v/>
      </c>
      <c r="O21" s="14">
        <f>IF(M21=0,0,INDEX(Seguimientos!$H$2:$H$1013,MATCH(A21&amp;"|"&amp;M21,Seguimientos!$K$2:$K$1013,0)))</f>
        <v/>
      </c>
      <c r="P21" s="9">
        <f>O21/2</f>
        <v/>
      </c>
      <c r="Q21" s="7">
        <f>INDEX(Escala!$B$2:$B$6,MATCH(O21,Escala!$A$2:$A$6,0))</f>
        <v/>
      </c>
      <c r="R21" s="7">
        <f>IF(O21=2,"Sí","No")</f>
        <v/>
      </c>
      <c r="S21" s="7">
        <f>IF(O21=0,"Sí","No")</f>
        <v/>
      </c>
      <c r="T21" s="7">
        <f>IF(AND(ISNUMBER(K21),O21&lt;2),IF(K21&lt;INDEX('Por sistema'!$D$5:$D$9,MATCH(B21,'Por sistema'!$A$5:$A$9,0)),"Sí","No"),"No")</f>
        <v/>
      </c>
    </row>
    <row r="22">
      <c r="A22" s="7" t="inlineStr">
        <is>
          <t>sgc-2023-13</t>
        </is>
      </c>
      <c r="B22" s="7" t="inlineStr">
        <is>
          <t>SGC</t>
        </is>
      </c>
      <c r="C22" s="7" t="inlineStr">
        <is>
          <t>Sistema de Gestión de Calidad</t>
        </is>
      </c>
      <c r="D22" s="7" t="inlineStr">
        <is>
          <t>2023</t>
        </is>
      </c>
      <c r="E22" s="7" t="n">
        <v>13</v>
      </c>
      <c r="F22" s="13" t="inlineStr">
        <is>
          <t>Incluir en el inventario de necesidades para priorización la mejora del aplicativo de SNC, en cuanto al paso posterior de seguimiento al cumplimiento de la recuperación de sesiones de formación.</t>
        </is>
      </c>
      <c r="G22" s="13" t="inlineStr">
        <is>
          <t>Oficina de Calidad - Sistemas y Tecnología</t>
        </is>
      </c>
      <c r="H22" s="13" t="inlineStr">
        <is>
          <t>Sistemas y Tecnología, Calidad</t>
        </is>
      </c>
      <c r="I22" s="13" t="inlineStr">
        <is>
          <t>Cronograma de priorización de la Dirección de Sistemas y Tecnología, donde se evidencia la inclusión de la mejora del aplicativo SNC.</t>
        </is>
      </c>
      <c r="J22" s="13" t="inlineStr">
        <is>
          <t>45381</t>
        </is>
      </c>
      <c r="K22" s="8" t="n">
        <v>45381</v>
      </c>
      <c r="L22" s="7">
        <f>COUNTIF(Seguimientos!$A$2:$A$1013,A22)</f>
        <v/>
      </c>
      <c r="M22" s="7">
        <f>SUMPRODUCT(MAX((Seguimientos!$A$2:$A$1013=A22)*(Seguimientos!$H$2:$H$1013&lt;&gt;"")*Seguimientos!$B$2:$B$1013))</f>
        <v/>
      </c>
      <c r="N22" s="8">
        <f>IF(M22=0,"",INDEX(Seguimientos!$F$2:$F$1013,MATCH(A22&amp;"|"&amp;M22,Seguimientos!$K$2:$K$1013,0)))</f>
        <v/>
      </c>
      <c r="O22" s="14">
        <f>IF(M22=0,0,INDEX(Seguimientos!$H$2:$H$1013,MATCH(A22&amp;"|"&amp;M22,Seguimientos!$K$2:$K$1013,0)))</f>
        <v/>
      </c>
      <c r="P22" s="9">
        <f>O22/2</f>
        <v/>
      </c>
      <c r="Q22" s="7">
        <f>INDEX(Escala!$B$2:$B$6,MATCH(O22,Escala!$A$2:$A$6,0))</f>
        <v/>
      </c>
      <c r="R22" s="7">
        <f>IF(O22=2,"Sí","No")</f>
        <v/>
      </c>
      <c r="S22" s="7">
        <f>IF(O22=0,"Sí","No")</f>
        <v/>
      </c>
      <c r="T22" s="7">
        <f>IF(AND(ISNUMBER(K22),O22&lt;2),IF(K22&lt;INDEX('Por sistema'!$D$5:$D$9,MATCH(B22,'Por sistema'!$A$5:$A$9,0)),"Sí","No"),"No")</f>
        <v/>
      </c>
    </row>
    <row r="23">
      <c r="A23" s="7" t="inlineStr">
        <is>
          <t>sgc-2023-14</t>
        </is>
      </c>
      <c r="B23" s="7" t="inlineStr">
        <is>
          <t>SGC</t>
        </is>
      </c>
      <c r="C23" s="7" t="inlineStr">
        <is>
          <t>Sistema de Gestión de Calidad</t>
        </is>
      </c>
      <c r="D23" s="7" t="inlineStr">
        <is>
          <t>2023</t>
        </is>
      </c>
      <c r="E23" s="7" t="n">
        <v>14</v>
      </c>
      <c r="F23" s="13" t="inlineStr">
        <is>
          <t>Generar estrategias para el fortalecimiento de las competencias relacionadas con la transparencia y la orientación al usuario y al ciudadano, así como fortalecer las metodologías de carácter digital y tecnológico para generar programas de formación y capacitación del personal.</t>
        </is>
      </c>
      <c r="G23" s="13" t="inlineStr">
        <is>
          <t>Dirección de Talento Humano</t>
        </is>
      </c>
      <c r="H23" s="13" t="inlineStr">
        <is>
          <t>Talento Humano</t>
        </is>
      </c>
      <c r="I23" s="13" t="inlineStr">
        <is>
          <t>Socialización de las estrategias a implementar para los dos casos y actualización documental si aplica.</t>
        </is>
      </c>
      <c r="J23" s="13" t="inlineStr">
        <is>
          <t>marzo 2024</t>
        </is>
      </c>
      <c r="K23" s="8" t="n"/>
      <c r="L23" s="7">
        <f>COUNTIF(Seguimientos!$A$2:$A$1013,A23)</f>
        <v/>
      </c>
      <c r="M23" s="7">
        <f>SUMPRODUCT(MAX((Seguimientos!$A$2:$A$1013=A23)*(Seguimientos!$H$2:$H$1013&lt;&gt;"")*Seguimientos!$B$2:$B$1013))</f>
        <v/>
      </c>
      <c r="N23" s="8">
        <f>IF(M23=0,"",INDEX(Seguimientos!$F$2:$F$1013,MATCH(A23&amp;"|"&amp;M23,Seguimientos!$K$2:$K$1013,0)))</f>
        <v/>
      </c>
      <c r="O23" s="14">
        <f>IF(M23=0,0,INDEX(Seguimientos!$H$2:$H$1013,MATCH(A23&amp;"|"&amp;M23,Seguimientos!$K$2:$K$1013,0)))</f>
        <v/>
      </c>
      <c r="P23" s="9">
        <f>O23/2</f>
        <v/>
      </c>
      <c r="Q23" s="7">
        <f>INDEX(Escala!$B$2:$B$6,MATCH(O23,Escala!$A$2:$A$6,0))</f>
        <v/>
      </c>
      <c r="R23" s="7">
        <f>IF(O23=2,"Sí","No")</f>
        <v/>
      </c>
      <c r="S23" s="7">
        <f>IF(O23=0,"Sí","No")</f>
        <v/>
      </c>
      <c r="T23" s="7">
        <f>IF(AND(ISNUMBER(K23),O23&lt;2),IF(K23&lt;INDEX('Por sistema'!$D$5:$D$9,MATCH(B23,'Por sistema'!$A$5:$A$9,0)),"Sí","No"),"No")</f>
        <v/>
      </c>
    </row>
    <row r="24">
      <c r="A24" s="7" t="inlineStr">
        <is>
          <t>sgc-2023-15</t>
        </is>
      </c>
      <c r="B24" s="7" t="inlineStr">
        <is>
          <t>SGC</t>
        </is>
      </c>
      <c r="C24" s="7" t="inlineStr">
        <is>
          <t>Sistema de Gestión de Calidad</t>
        </is>
      </c>
      <c r="D24" s="7" t="inlineStr">
        <is>
          <t>2023</t>
        </is>
      </c>
      <c r="E24" s="7" t="n">
        <v>15</v>
      </c>
      <c r="F24" s="13" t="inlineStr">
        <is>
          <t>Consolidar el plan estratégico de tecnologías de la información (redes, servicios, servidores, plataformas, etc.) para atender de manera adecuada la oferta académica virtual que la Universidad está proyectando.</t>
        </is>
      </c>
      <c r="G24" s="13" t="inlineStr">
        <is>
          <t>Dirección de Sistemas y Tecnología</t>
        </is>
      </c>
      <c r="H24" s="13" t="inlineStr">
        <is>
          <t>Sistemas y Tecnología</t>
        </is>
      </c>
      <c r="I24" s="13" t="inlineStr">
        <is>
          <t>Plan estratégico de tecnologías de la información (redes, servicios, servidores, plataformas, etc.) enfocado en la oferta académica virtual.</t>
        </is>
      </c>
      <c r="J24" s="13" t="inlineStr">
        <is>
          <t>marzo 2024</t>
        </is>
      </c>
      <c r="K24" s="8" t="n"/>
      <c r="L24" s="7">
        <f>COUNTIF(Seguimientos!$A$2:$A$1013,A24)</f>
        <v/>
      </c>
      <c r="M24" s="7">
        <f>SUMPRODUCT(MAX((Seguimientos!$A$2:$A$1013=A24)*(Seguimientos!$H$2:$H$1013&lt;&gt;"")*Seguimientos!$B$2:$B$1013))</f>
        <v/>
      </c>
      <c r="N24" s="8">
        <f>IF(M24=0,"",INDEX(Seguimientos!$F$2:$F$1013,MATCH(A24&amp;"|"&amp;M24,Seguimientos!$K$2:$K$1013,0)))</f>
        <v/>
      </c>
      <c r="O24" s="14">
        <f>IF(M24=0,0,INDEX(Seguimientos!$H$2:$H$1013,MATCH(A24&amp;"|"&amp;M24,Seguimientos!$K$2:$K$1013,0)))</f>
        <v/>
      </c>
      <c r="P24" s="9">
        <f>O24/2</f>
        <v/>
      </c>
      <c r="Q24" s="7">
        <f>INDEX(Escala!$B$2:$B$6,MATCH(O24,Escala!$A$2:$A$6,0))</f>
        <v/>
      </c>
      <c r="R24" s="7">
        <f>IF(O24=2,"Sí","No")</f>
        <v/>
      </c>
      <c r="S24" s="7">
        <f>IF(O24=0,"Sí","No")</f>
        <v/>
      </c>
      <c r="T24" s="7">
        <f>IF(AND(ISNUMBER(K24),O24&lt;2),IF(K24&lt;INDEX('Por sistema'!$D$5:$D$9,MATCH(B24,'Por sistema'!$A$5:$A$9,0)),"Sí","No"),"No")</f>
        <v/>
      </c>
    </row>
    <row r="25">
      <c r="A25" s="7" t="inlineStr">
        <is>
          <t>sgc-2023-16</t>
        </is>
      </c>
      <c r="B25" s="7" t="inlineStr">
        <is>
          <t>SGC</t>
        </is>
      </c>
      <c r="C25" s="7" t="inlineStr">
        <is>
          <t>Sistema de Gestión de Calidad</t>
        </is>
      </c>
      <c r="D25" s="7" t="inlineStr">
        <is>
          <t>2023</t>
        </is>
      </c>
      <c r="E25" s="7" t="n">
        <v>16</v>
      </c>
      <c r="F25" s="13" t="inlineStr">
        <is>
          <t>Reasignación de espacio físico para el archivo de talento humano.</t>
        </is>
      </c>
      <c r="G25" s="13" t="inlineStr">
        <is>
          <t>Planeación Institucional - Archivo y Correspondencia - Talento Humano</t>
        </is>
      </c>
      <c r="H25" s="13" t="inlineStr">
        <is>
          <t>Planeación Institucional, Talento Humano, Archivo y Correspondencia</t>
        </is>
      </c>
      <c r="I25" s="13" t="inlineStr">
        <is>
          <t>Documento o acto administrativo con la reasignación de espacio físico para el archivo de talento humano.</t>
        </is>
      </c>
      <c r="J25" s="13" t="inlineStr">
        <is>
          <t>Trimestre I 2024</t>
        </is>
      </c>
      <c r="K25" s="8" t="n"/>
      <c r="L25" s="7">
        <f>COUNTIF(Seguimientos!$A$2:$A$1013,A25)</f>
        <v/>
      </c>
      <c r="M25" s="7">
        <f>SUMPRODUCT(MAX((Seguimientos!$A$2:$A$1013=A25)*(Seguimientos!$H$2:$H$1013&lt;&gt;"")*Seguimientos!$B$2:$B$1013))</f>
        <v/>
      </c>
      <c r="N25" s="8">
        <f>IF(M25=0,"",INDEX(Seguimientos!$F$2:$F$1013,MATCH(A25&amp;"|"&amp;M25,Seguimientos!$K$2:$K$1013,0)))</f>
        <v/>
      </c>
      <c r="O25" s="14">
        <f>IF(M25=0,0,INDEX(Seguimientos!$H$2:$H$1013,MATCH(A25&amp;"|"&amp;M25,Seguimientos!$K$2:$K$1013,0)))</f>
        <v/>
      </c>
      <c r="P25" s="9">
        <f>O25/2</f>
        <v/>
      </c>
      <c r="Q25" s="7">
        <f>INDEX(Escala!$B$2:$B$6,MATCH(O25,Escala!$A$2:$A$6,0))</f>
        <v/>
      </c>
      <c r="R25" s="7">
        <f>IF(O25=2,"Sí","No")</f>
        <v/>
      </c>
      <c r="S25" s="7">
        <f>IF(O25=0,"Sí","No")</f>
        <v/>
      </c>
      <c r="T25" s="7">
        <f>IF(AND(ISNUMBER(K25),O25&lt;2),IF(K25&lt;INDEX('Por sistema'!$D$5:$D$9,MATCH(B25,'Por sistema'!$A$5:$A$9,0)),"Sí","No"),"No")</f>
        <v/>
      </c>
    </row>
    <row r="26">
      <c r="A26" s="7" t="inlineStr">
        <is>
          <t>sgc-2023-17</t>
        </is>
      </c>
      <c r="B26" s="7" t="inlineStr">
        <is>
          <t>SGC</t>
        </is>
      </c>
      <c r="C26" s="7" t="inlineStr">
        <is>
          <t>Sistema de Gestión de Calidad</t>
        </is>
      </c>
      <c r="D26" s="7" t="inlineStr">
        <is>
          <t>2023</t>
        </is>
      </c>
      <c r="E26" s="7" t="n">
        <v>17</v>
      </c>
      <c r="F26" s="13" t="inlineStr">
        <is>
          <t>Hacer un estudio de tiempos y movimientos con la Oficina de Calidad de los trámites internos para el proceso de investigación, articulado con el área administrativa.</t>
        </is>
      </c>
      <c r="G26" s="13" t="inlineStr">
        <is>
          <t>Dirección de Investigación - Oficina de Calidad</t>
        </is>
      </c>
      <c r="H26" s="13" t="inlineStr">
        <is>
          <t>Calidad, Investigación Universitaria</t>
        </is>
      </c>
      <c r="I26" s="13" t="inlineStr">
        <is>
          <t>Informe de estudio de tiempos y movimientos de los trámites internos para el proceso de investigación, articulado con el área administrativa.</t>
        </is>
      </c>
      <c r="J26" s="13" t="inlineStr">
        <is>
          <t>IPA 2024</t>
        </is>
      </c>
      <c r="K26" s="8" t="n"/>
      <c r="L26" s="7">
        <f>COUNTIF(Seguimientos!$A$2:$A$1013,A26)</f>
        <v/>
      </c>
      <c r="M26" s="7">
        <f>SUMPRODUCT(MAX((Seguimientos!$A$2:$A$1013=A26)*(Seguimientos!$H$2:$H$1013&lt;&gt;"")*Seguimientos!$B$2:$B$1013))</f>
        <v/>
      </c>
      <c r="N26" s="8">
        <f>IF(M26=0,"",INDEX(Seguimientos!$F$2:$F$1013,MATCH(A26&amp;"|"&amp;M26,Seguimientos!$K$2:$K$1013,0)))</f>
        <v/>
      </c>
      <c r="O26" s="14">
        <f>IF(M26=0,0,INDEX(Seguimientos!$H$2:$H$1013,MATCH(A26&amp;"|"&amp;M26,Seguimientos!$K$2:$K$1013,0)))</f>
        <v/>
      </c>
      <c r="P26" s="9">
        <f>O26/2</f>
        <v/>
      </c>
      <c r="Q26" s="7">
        <f>INDEX(Escala!$B$2:$B$6,MATCH(O26,Escala!$A$2:$A$6,0))</f>
        <v/>
      </c>
      <c r="R26" s="7">
        <f>IF(O26=2,"Sí","No")</f>
        <v/>
      </c>
      <c r="S26" s="7">
        <f>IF(O26=0,"Sí","No")</f>
        <v/>
      </c>
      <c r="T26" s="7">
        <f>IF(AND(ISNUMBER(K26),O26&lt;2),IF(K26&lt;INDEX('Por sistema'!$D$5:$D$9,MATCH(B26,'Por sistema'!$A$5:$A$9,0)),"Sí","No"),"No")</f>
        <v/>
      </c>
    </row>
    <row r="27">
      <c r="A27" s="7" t="inlineStr">
        <is>
          <t>sgc-2023-18</t>
        </is>
      </c>
      <c r="B27" s="7" t="inlineStr">
        <is>
          <t>SGC</t>
        </is>
      </c>
      <c r="C27" s="7" t="inlineStr">
        <is>
          <t>Sistema de Gestión de Calidad</t>
        </is>
      </c>
      <c r="D27" s="7" t="inlineStr">
        <is>
          <t>2023</t>
        </is>
      </c>
      <c r="E27" s="7" t="n">
        <v>18</v>
      </c>
      <c r="F27" s="13" t="inlineStr">
        <is>
          <t>Revisar la gestión del proceso de internacionalización dado que no solamente por los resultados estadísticos de los planes de mejoramiento, sino por otros temas revisados desde la Comisión de Control Interno, denota deficiencias en la gestión de la mejora.</t>
        </is>
      </c>
      <c r="G27" s="13" t="inlineStr">
        <is>
          <t>Vicerrectoría Académica</t>
        </is>
      </c>
      <c r="H27" s="13" t="inlineStr">
        <is>
          <t>Vicerrectoría Académica</t>
        </is>
      </c>
      <c r="I27" s="13" t="inlineStr">
        <is>
          <t>Informe de seguimiento a la gestión de mejora en las actividades del proceso de internacionalización.</t>
        </is>
      </c>
      <c r="J27" s="13" t="inlineStr">
        <is>
          <t>IPA 2024</t>
        </is>
      </c>
      <c r="K27" s="8" t="n"/>
      <c r="L27" s="7">
        <f>COUNTIF(Seguimientos!$A$2:$A$1013,A27)</f>
        <v/>
      </c>
      <c r="M27" s="7">
        <f>SUMPRODUCT(MAX((Seguimientos!$A$2:$A$1013=A27)*(Seguimientos!$H$2:$H$1013&lt;&gt;"")*Seguimientos!$B$2:$B$1013))</f>
        <v/>
      </c>
      <c r="N27" s="8">
        <f>IF(M27=0,"",INDEX(Seguimientos!$F$2:$F$1013,MATCH(A27&amp;"|"&amp;M27,Seguimientos!$K$2:$K$1013,0)))</f>
        <v/>
      </c>
      <c r="O27" s="14">
        <f>IF(M27=0,0,INDEX(Seguimientos!$H$2:$H$1013,MATCH(A27&amp;"|"&amp;M27,Seguimientos!$K$2:$K$1013,0)))</f>
        <v/>
      </c>
      <c r="P27" s="9">
        <f>O27/2</f>
        <v/>
      </c>
      <c r="Q27" s="7">
        <f>INDEX(Escala!$B$2:$B$6,MATCH(O27,Escala!$A$2:$A$6,0))</f>
        <v/>
      </c>
      <c r="R27" s="7">
        <f>IF(O27=2,"Sí","No")</f>
        <v/>
      </c>
      <c r="S27" s="7">
        <f>IF(O27=0,"Sí","No")</f>
        <v/>
      </c>
      <c r="T27" s="7">
        <f>IF(AND(ISNUMBER(K27),O27&lt;2),IF(K27&lt;INDEX('Por sistema'!$D$5:$D$9,MATCH(B27,'Por sistema'!$A$5:$A$9,0)),"Sí","No"),"No")</f>
        <v/>
      </c>
    </row>
    <row r="28">
      <c r="A28" s="7" t="inlineStr">
        <is>
          <t>sgc-2023-19</t>
        </is>
      </c>
      <c r="B28" s="7" t="inlineStr">
        <is>
          <t>SGC</t>
        </is>
      </c>
      <c r="C28" s="7" t="inlineStr">
        <is>
          <t>Sistema de Gestión de Calidad</t>
        </is>
      </c>
      <c r="D28" s="7" t="inlineStr">
        <is>
          <t>2023</t>
        </is>
      </c>
      <c r="E28" s="7" t="n">
        <v>19</v>
      </c>
      <c r="F28" s="13" t="inlineStr">
        <is>
          <t>Adelantar mesas de trabajo entre la Dirección Planeación, la Dirección de Bienes y Servicios, la Oficina de Equidad y Diversidad y la Oficina de Seguridad y Salud en el Trabajo, con el fin de validar la necesidad de realizar estudios de factibilidad para el acceso a la planta física de la UDEC en el marco de la inclusión.</t>
        </is>
      </c>
      <c r="G28" s="13" t="inlineStr">
        <is>
          <t>Oficina de Recursos Físicos</t>
        </is>
      </c>
      <c r="H28" s="13" t="inlineStr">
        <is>
          <t>Recursos Físicos</t>
        </is>
      </c>
      <c r="I28" s="13" t="inlineStr">
        <is>
          <t>Registros de asistencia o grabación de las mesas de trabajo de validación de estudios de factibilidad para el acceso a la planta física de la UDEC en el marco de la inclusión.</t>
        </is>
      </c>
      <c r="J28" s="13" t="inlineStr">
        <is>
          <t>IPA 2024</t>
        </is>
      </c>
      <c r="K28" s="8" t="n"/>
      <c r="L28" s="7">
        <f>COUNTIF(Seguimientos!$A$2:$A$1013,A28)</f>
        <v/>
      </c>
      <c r="M28" s="7">
        <f>SUMPRODUCT(MAX((Seguimientos!$A$2:$A$1013=A28)*(Seguimientos!$H$2:$H$1013&lt;&gt;"")*Seguimientos!$B$2:$B$1013))</f>
        <v/>
      </c>
      <c r="N28" s="8">
        <f>IF(M28=0,"",INDEX(Seguimientos!$F$2:$F$1013,MATCH(A28&amp;"|"&amp;M28,Seguimientos!$K$2:$K$1013,0)))</f>
        <v/>
      </c>
      <c r="O28" s="14">
        <f>IF(M28=0,0,INDEX(Seguimientos!$H$2:$H$1013,MATCH(A28&amp;"|"&amp;M28,Seguimientos!$K$2:$K$1013,0)))</f>
        <v/>
      </c>
      <c r="P28" s="9">
        <f>O28/2</f>
        <v/>
      </c>
      <c r="Q28" s="7">
        <f>INDEX(Escala!$B$2:$B$6,MATCH(O28,Escala!$A$2:$A$6,0))</f>
        <v/>
      </c>
      <c r="R28" s="7">
        <f>IF(O28=2,"Sí","No")</f>
        <v/>
      </c>
      <c r="S28" s="7">
        <f>IF(O28=0,"Sí","No")</f>
        <v/>
      </c>
      <c r="T28" s="7">
        <f>IF(AND(ISNUMBER(K28),O28&lt;2),IF(K28&lt;INDEX('Por sistema'!$D$5:$D$9,MATCH(B28,'Por sistema'!$A$5:$A$9,0)),"Sí","No"),"No")</f>
        <v/>
      </c>
    </row>
    <row r="29">
      <c r="A29" s="7" t="inlineStr">
        <is>
          <t>sgc-2023-20</t>
        </is>
      </c>
      <c r="B29" s="7" t="inlineStr">
        <is>
          <t>SGC</t>
        </is>
      </c>
      <c r="C29" s="7" t="inlineStr">
        <is>
          <t>Sistema de Gestión de Calidad</t>
        </is>
      </c>
      <c r="D29" s="7" t="inlineStr">
        <is>
          <t>2023</t>
        </is>
      </c>
      <c r="E29" s="7" t="n">
        <v>20</v>
      </c>
      <c r="F29" s="13" t="inlineStr">
        <is>
          <t>Generar contenido de un curso virtual, en el cual se profundice sobre las líneas de defensa dando mayor relevancia a los temas de autocontrol, teniendo en cuenta que por las estadísticas se tiende a ser reactivo a la espera de la auditoria para mejorar.</t>
        </is>
      </c>
      <c r="G29" s="13" t="inlineStr">
        <is>
          <t>Control Interno</t>
        </is>
      </c>
      <c r="H29" s="13" t="inlineStr">
        <is>
          <t>Control Interno</t>
        </is>
      </c>
      <c r="I29" s="13" t="inlineStr">
        <is>
          <t>Curso virtual activo y en funcionamiento en aulas virtuales, MOOCs.</t>
        </is>
      </c>
      <c r="J29" s="13" t="inlineStr">
        <is>
          <t>IPA 2024</t>
        </is>
      </c>
      <c r="K29" s="8" t="n"/>
      <c r="L29" s="7">
        <f>COUNTIF(Seguimientos!$A$2:$A$1013,A29)</f>
        <v/>
      </c>
      <c r="M29" s="7">
        <f>SUMPRODUCT(MAX((Seguimientos!$A$2:$A$1013=A29)*(Seguimientos!$H$2:$H$1013&lt;&gt;"")*Seguimientos!$B$2:$B$1013))</f>
        <v/>
      </c>
      <c r="N29" s="8">
        <f>IF(M29=0,"",INDEX(Seguimientos!$F$2:$F$1013,MATCH(A29&amp;"|"&amp;M29,Seguimientos!$K$2:$K$1013,0)))</f>
        <v/>
      </c>
      <c r="O29" s="14">
        <f>IF(M29=0,0,INDEX(Seguimientos!$H$2:$H$1013,MATCH(A29&amp;"|"&amp;M29,Seguimientos!$K$2:$K$1013,0)))</f>
        <v/>
      </c>
      <c r="P29" s="9">
        <f>O29/2</f>
        <v/>
      </c>
      <c r="Q29" s="7">
        <f>INDEX(Escala!$B$2:$B$6,MATCH(O29,Escala!$A$2:$A$6,0))</f>
        <v/>
      </c>
      <c r="R29" s="7">
        <f>IF(O29=2,"Sí","No")</f>
        <v/>
      </c>
      <c r="S29" s="7">
        <f>IF(O29=0,"Sí","No")</f>
        <v/>
      </c>
      <c r="T29" s="7">
        <f>IF(AND(ISNUMBER(K29),O29&lt;2),IF(K29&lt;INDEX('Por sistema'!$D$5:$D$9,MATCH(B29,'Por sistema'!$A$5:$A$9,0)),"Sí","No"),"No")</f>
        <v/>
      </c>
    </row>
    <row r="30">
      <c r="A30" s="7" t="inlineStr">
        <is>
          <t>sgc-2023-21</t>
        </is>
      </c>
      <c r="B30" s="7" t="inlineStr">
        <is>
          <t>SGC</t>
        </is>
      </c>
      <c r="C30" s="7" t="inlineStr">
        <is>
          <t>Sistema de Gestión de Calidad</t>
        </is>
      </c>
      <c r="D30" s="7" t="inlineStr">
        <is>
          <t>2023</t>
        </is>
      </c>
      <c r="E30" s="7" t="n">
        <v>21</v>
      </c>
      <c r="F30" s="13" t="inlineStr">
        <is>
          <t>Para los temas reiterativos de No conformidad incluir estas unidades auditables para el 2024 previo estudio de nivel de riesgos.</t>
        </is>
      </c>
      <c r="G30" s="13" t="inlineStr">
        <is>
          <t>Dirección de Control Interno</t>
        </is>
      </c>
      <c r="H30" s="13" t="inlineStr">
        <is>
          <t>Control Interno</t>
        </is>
      </c>
      <c r="I30" s="13" t="inlineStr">
        <is>
          <t>Plan de auditorias con la inclusión de temas relacionados con no conformidades reiterativas. Informe de estudio de nivel de riesgos 2024.</t>
        </is>
      </c>
      <c r="J30" s="13" t="inlineStr">
        <is>
          <t>IPA 2024</t>
        </is>
      </c>
      <c r="K30" s="8" t="n"/>
      <c r="L30" s="7">
        <f>COUNTIF(Seguimientos!$A$2:$A$1013,A30)</f>
        <v/>
      </c>
      <c r="M30" s="7">
        <f>SUMPRODUCT(MAX((Seguimientos!$A$2:$A$1013=A30)*(Seguimientos!$H$2:$H$1013&lt;&gt;"")*Seguimientos!$B$2:$B$1013))</f>
        <v/>
      </c>
      <c r="N30" s="8">
        <f>IF(M30=0,"",INDEX(Seguimientos!$F$2:$F$1013,MATCH(A30&amp;"|"&amp;M30,Seguimientos!$K$2:$K$1013,0)))</f>
        <v/>
      </c>
      <c r="O30" s="14">
        <f>IF(M30=0,0,INDEX(Seguimientos!$H$2:$H$1013,MATCH(A30&amp;"|"&amp;M30,Seguimientos!$K$2:$K$1013,0)))</f>
        <v/>
      </c>
      <c r="P30" s="9">
        <f>O30/2</f>
        <v/>
      </c>
      <c r="Q30" s="7">
        <f>INDEX(Escala!$B$2:$B$6,MATCH(O30,Escala!$A$2:$A$6,0))</f>
        <v/>
      </c>
      <c r="R30" s="7">
        <f>IF(O30=2,"Sí","No")</f>
        <v/>
      </c>
      <c r="S30" s="7">
        <f>IF(O30=0,"Sí","No")</f>
        <v/>
      </c>
      <c r="T30" s="7">
        <f>IF(AND(ISNUMBER(K30),O30&lt;2),IF(K30&lt;INDEX('Por sistema'!$D$5:$D$9,MATCH(B30,'Por sistema'!$A$5:$A$9,0)),"Sí","No"),"No")</f>
        <v/>
      </c>
    </row>
    <row r="31">
      <c r="A31" s="7" t="inlineStr">
        <is>
          <t>sgc-2023-22</t>
        </is>
      </c>
      <c r="B31" s="7" t="inlineStr">
        <is>
          <t>SGC</t>
        </is>
      </c>
      <c r="C31" s="7" t="inlineStr">
        <is>
          <t>Sistema de Gestión de Calidad</t>
        </is>
      </c>
      <c r="D31" s="7" t="inlineStr">
        <is>
          <t>2023</t>
        </is>
      </c>
      <c r="E31" s="7" t="n">
        <v>22</v>
      </c>
      <c r="F31" s="13" t="inlineStr">
        <is>
          <t>Adelantar la gestión del cambio de la Resolución 088: 2023, con el fin de desagregar las funciones del PHVA de los Sistemas de Gestión.</t>
        </is>
      </c>
      <c r="G31" s="13" t="inlineStr">
        <is>
          <t>Dirección de Control Interno</t>
        </is>
      </c>
      <c r="H31" s="13" t="inlineStr">
        <is>
          <t>Control Interno</t>
        </is>
      </c>
      <c r="I31" s="13" t="inlineStr">
        <is>
          <t>Matriz de gestión del cambio y articulación de las actividades de desagregación del ciclo PHVA de los sistemas de Gestión.</t>
        </is>
      </c>
      <c r="J31" s="13" t="inlineStr">
        <is>
          <t>IPA 2024</t>
        </is>
      </c>
      <c r="K31" s="8" t="n"/>
      <c r="L31" s="7">
        <f>COUNTIF(Seguimientos!$A$2:$A$1013,A31)</f>
        <v/>
      </c>
      <c r="M31" s="7">
        <f>SUMPRODUCT(MAX((Seguimientos!$A$2:$A$1013=A31)*(Seguimientos!$H$2:$H$1013&lt;&gt;"")*Seguimientos!$B$2:$B$1013))</f>
        <v/>
      </c>
      <c r="N31" s="8">
        <f>IF(M31=0,"",INDEX(Seguimientos!$F$2:$F$1013,MATCH(A31&amp;"|"&amp;M31,Seguimientos!$K$2:$K$1013,0)))</f>
        <v/>
      </c>
      <c r="O31" s="14">
        <f>IF(M31=0,0,INDEX(Seguimientos!$H$2:$H$1013,MATCH(A31&amp;"|"&amp;M31,Seguimientos!$K$2:$K$1013,0)))</f>
        <v/>
      </c>
      <c r="P31" s="9">
        <f>O31/2</f>
        <v/>
      </c>
      <c r="Q31" s="7">
        <f>INDEX(Escala!$B$2:$B$6,MATCH(O31,Escala!$A$2:$A$6,0))</f>
        <v/>
      </c>
      <c r="R31" s="7">
        <f>IF(O31=2,"Sí","No")</f>
        <v/>
      </c>
      <c r="S31" s="7">
        <f>IF(O31=0,"Sí","No")</f>
        <v/>
      </c>
      <c r="T31" s="7">
        <f>IF(AND(ISNUMBER(K31),O31&lt;2),IF(K31&lt;INDEX('Por sistema'!$D$5:$D$9,MATCH(B31,'Por sistema'!$A$5:$A$9,0)),"Sí","No"),"No")</f>
        <v/>
      </c>
    </row>
    <row r="32">
      <c r="A32" s="7" t="inlineStr">
        <is>
          <t>sgc-2023-23</t>
        </is>
      </c>
      <c r="B32" s="7" t="inlineStr">
        <is>
          <t>SGC</t>
        </is>
      </c>
      <c r="C32" s="7" t="inlineStr">
        <is>
          <t>Sistema de Gestión de Calidad</t>
        </is>
      </c>
      <c r="D32" s="7" t="inlineStr">
        <is>
          <t>2023</t>
        </is>
      </c>
      <c r="E32" s="7" t="n">
        <v>23</v>
      </c>
      <c r="F32" s="13" t="inlineStr">
        <is>
          <t>Incluir dentro de los acuerdos de gestión de los directivos y jefes el cierre de los planes de mejoramiento como actividad de tipo institucional, o en su defecto considerarla dentro del plan de acción de la siguiente vigencia como estrategia de mejora.</t>
        </is>
      </c>
      <c r="G32" s="13" t="inlineStr">
        <is>
          <t>Dirección de Talento Humano</t>
        </is>
      </c>
      <c r="H32" s="13" t="inlineStr">
        <is>
          <t>Talento Humano</t>
        </is>
      </c>
      <c r="I32" s="13" t="inlineStr">
        <is>
          <t>Acuerdos de Gestión con la articulación de actividades de cierre de planes de mejoramiento.</t>
        </is>
      </c>
      <c r="J32" s="13" t="inlineStr">
        <is>
          <t>IPA 2024</t>
        </is>
      </c>
      <c r="K32" s="8" t="n"/>
      <c r="L32" s="7">
        <f>COUNTIF(Seguimientos!$A$2:$A$1013,A32)</f>
        <v/>
      </c>
      <c r="M32" s="7">
        <f>SUMPRODUCT(MAX((Seguimientos!$A$2:$A$1013=A32)*(Seguimientos!$H$2:$H$1013&lt;&gt;"")*Seguimientos!$B$2:$B$1013))</f>
        <v/>
      </c>
      <c r="N32" s="8">
        <f>IF(M32=0,"",INDEX(Seguimientos!$F$2:$F$1013,MATCH(A32&amp;"|"&amp;M32,Seguimientos!$K$2:$K$1013,0)))</f>
        <v/>
      </c>
      <c r="O32" s="14">
        <f>IF(M32=0,0,INDEX(Seguimientos!$H$2:$H$1013,MATCH(A32&amp;"|"&amp;M32,Seguimientos!$K$2:$K$1013,0)))</f>
        <v/>
      </c>
      <c r="P32" s="9">
        <f>O32/2</f>
        <v/>
      </c>
      <c r="Q32" s="7">
        <f>INDEX(Escala!$B$2:$B$6,MATCH(O32,Escala!$A$2:$A$6,0))</f>
        <v/>
      </c>
      <c r="R32" s="7">
        <f>IF(O32=2,"Sí","No")</f>
        <v/>
      </c>
      <c r="S32" s="7">
        <f>IF(O32=0,"Sí","No")</f>
        <v/>
      </c>
      <c r="T32" s="7">
        <f>IF(AND(ISNUMBER(K32),O32&lt;2),IF(K32&lt;INDEX('Por sistema'!$D$5:$D$9,MATCH(B32,'Por sistema'!$A$5:$A$9,0)),"Sí","No"),"No")</f>
        <v/>
      </c>
    </row>
    <row r="33">
      <c r="A33" s="7" t="inlineStr">
        <is>
          <t>sgc-2023-24</t>
        </is>
      </c>
      <c r="B33" s="7" t="inlineStr">
        <is>
          <t>SGC</t>
        </is>
      </c>
      <c r="C33" s="7" t="inlineStr">
        <is>
          <t>Sistema de Gestión de Calidad</t>
        </is>
      </c>
      <c r="D33" s="7" t="inlineStr">
        <is>
          <t>2023</t>
        </is>
      </c>
      <c r="E33" s="7" t="n">
        <v>24</v>
      </c>
      <c r="F33" s="13" t="inlineStr">
        <is>
          <t>Hacer una capacitación para dar a conocer el uso adecuado de los teléfonos.</t>
        </is>
      </c>
      <c r="G33" s="13" t="inlineStr">
        <is>
          <t>Oficina de Atención al Ciudadano</t>
        </is>
      </c>
      <c r="H33" s="13" t="inlineStr">
        <is>
          <t>Atención al Ciudadano</t>
        </is>
      </c>
      <c r="I33" s="13" t="inlineStr">
        <is>
          <t>Registros de asistencia o grabaciones de las sesiones de capacitación.</t>
        </is>
      </c>
      <c r="J33" s="13" t="inlineStr">
        <is>
          <t>abril 2024</t>
        </is>
      </c>
      <c r="K33" s="8" t="n"/>
      <c r="L33" s="7">
        <f>COUNTIF(Seguimientos!$A$2:$A$1013,A33)</f>
        <v/>
      </c>
      <c r="M33" s="7">
        <f>SUMPRODUCT(MAX((Seguimientos!$A$2:$A$1013=A33)*(Seguimientos!$H$2:$H$1013&lt;&gt;"")*Seguimientos!$B$2:$B$1013))</f>
        <v/>
      </c>
      <c r="N33" s="8">
        <f>IF(M33=0,"",INDEX(Seguimientos!$F$2:$F$1013,MATCH(A33&amp;"|"&amp;M33,Seguimientos!$K$2:$K$1013,0)))</f>
        <v/>
      </c>
      <c r="O33" s="14">
        <f>IF(M33=0,0,INDEX(Seguimientos!$H$2:$H$1013,MATCH(A33&amp;"|"&amp;M33,Seguimientos!$K$2:$K$1013,0)))</f>
        <v/>
      </c>
      <c r="P33" s="9">
        <f>O33/2</f>
        <v/>
      </c>
      <c r="Q33" s="7">
        <f>INDEX(Escala!$B$2:$B$6,MATCH(O33,Escala!$A$2:$A$6,0))</f>
        <v/>
      </c>
      <c r="R33" s="7">
        <f>IF(O33=2,"Sí","No")</f>
        <v/>
      </c>
      <c r="S33" s="7">
        <f>IF(O33=0,"Sí","No")</f>
        <v/>
      </c>
      <c r="T33" s="7">
        <f>IF(AND(ISNUMBER(K33),O33&lt;2),IF(K33&lt;INDEX('Por sistema'!$D$5:$D$9,MATCH(B33,'Por sistema'!$A$5:$A$9,0)),"Sí","No"),"No")</f>
        <v/>
      </c>
    </row>
    <row r="34">
      <c r="A34" s="7" t="inlineStr">
        <is>
          <t>sgc-2023-25</t>
        </is>
      </c>
      <c r="B34" s="7" t="inlineStr">
        <is>
          <t>SGC</t>
        </is>
      </c>
      <c r="C34" s="7" t="inlineStr">
        <is>
          <t>Sistema de Gestión de Calidad</t>
        </is>
      </c>
      <c r="D34" s="7" t="inlineStr">
        <is>
          <t>2023</t>
        </is>
      </c>
      <c r="E34" s="7" t="n">
        <v>25</v>
      </c>
      <c r="F34" s="13" t="inlineStr">
        <is>
          <t>Realizar un análisis de causas del incremento de salidas no conformes relacionadas con la inasistencia de profesores, para determinar estrategias que permitan controlar esta tendencia.</t>
        </is>
      </c>
      <c r="G34" s="13" t="inlineStr">
        <is>
          <t>Desarrollo Académico</t>
        </is>
      </c>
      <c r="H34" s="13" t="inlineStr">
        <is>
          <t>Apoyo y Desarrollo Académico</t>
        </is>
      </c>
      <c r="I34" s="13" t="inlineStr">
        <is>
          <t>Informe de Análisis causa en el incremento de salidas no conformes relacionadas con la inasistencia de profesores, con el planteamiento de las estrategias para el control de tendencias crecientes.</t>
        </is>
      </c>
      <c r="J34" s="13" t="inlineStr">
        <is>
          <t>45442</t>
        </is>
      </c>
      <c r="K34" s="8" t="n">
        <v>45442</v>
      </c>
      <c r="L34" s="7">
        <f>COUNTIF(Seguimientos!$A$2:$A$1013,A34)</f>
        <v/>
      </c>
      <c r="M34" s="7">
        <f>SUMPRODUCT(MAX((Seguimientos!$A$2:$A$1013=A34)*(Seguimientos!$H$2:$H$1013&lt;&gt;"")*Seguimientos!$B$2:$B$1013))</f>
        <v/>
      </c>
      <c r="N34" s="8">
        <f>IF(M34=0,"",INDEX(Seguimientos!$F$2:$F$1013,MATCH(A34&amp;"|"&amp;M34,Seguimientos!$K$2:$K$1013,0)))</f>
        <v/>
      </c>
      <c r="O34" s="14">
        <f>IF(M34=0,0,INDEX(Seguimientos!$H$2:$H$1013,MATCH(A34&amp;"|"&amp;M34,Seguimientos!$K$2:$K$1013,0)))</f>
        <v/>
      </c>
      <c r="P34" s="9">
        <f>O34/2</f>
        <v/>
      </c>
      <c r="Q34" s="7">
        <f>INDEX(Escala!$B$2:$B$6,MATCH(O34,Escala!$A$2:$A$6,0))</f>
        <v/>
      </c>
      <c r="R34" s="7">
        <f>IF(O34=2,"Sí","No")</f>
        <v/>
      </c>
      <c r="S34" s="7">
        <f>IF(O34=0,"Sí","No")</f>
        <v/>
      </c>
      <c r="T34" s="7">
        <f>IF(AND(ISNUMBER(K34),O34&lt;2),IF(K34&lt;INDEX('Por sistema'!$D$5:$D$9,MATCH(B34,'Por sistema'!$A$5:$A$9,0)),"Sí","No"),"No")</f>
        <v/>
      </c>
    </row>
    <row r="35">
      <c r="A35" s="7" t="inlineStr">
        <is>
          <t>sgc-2023-26</t>
        </is>
      </c>
      <c r="B35" s="7" t="inlineStr">
        <is>
          <t>SGC</t>
        </is>
      </c>
      <c r="C35" s="7" t="inlineStr">
        <is>
          <t>Sistema de Gestión de Calidad</t>
        </is>
      </c>
      <c r="D35" s="7" t="inlineStr">
        <is>
          <t>2023</t>
        </is>
      </c>
      <c r="E35" s="7" t="n">
        <v>26</v>
      </c>
      <c r="F35" s="13" t="inlineStr">
        <is>
          <t>Actualizar la Resolución No. 096 de 2021 con el fin de actualizar los lineamientos (Política) y los objetivos del sistema de gestión de la Calidad, de acuerdo con el nuevo Plan Rectoral y Plan de Desarrollo.</t>
        </is>
      </c>
      <c r="G35" s="13" t="inlineStr">
        <is>
          <t>Oficina de Calidad - trámite ante los cuerpos colegiados</t>
        </is>
      </c>
      <c r="H35" s="13" t="inlineStr">
        <is>
          <t>Calidad, Cuerpos Colegiados y Comités</t>
        </is>
      </c>
      <c r="I35" s="13" t="inlineStr">
        <is>
          <t>Resolución No. 096 de 2021 actualizada, de acuerdo a los documentos maestros para la vigencia 2024.</t>
        </is>
      </c>
      <c r="J35" s="13" t="inlineStr">
        <is>
          <t>45473</t>
        </is>
      </c>
      <c r="K35" s="8" t="n">
        <v>45473</v>
      </c>
      <c r="L35" s="7">
        <f>COUNTIF(Seguimientos!$A$2:$A$1013,A35)</f>
        <v/>
      </c>
      <c r="M35" s="7">
        <f>SUMPRODUCT(MAX((Seguimientos!$A$2:$A$1013=A35)*(Seguimientos!$H$2:$H$1013&lt;&gt;"")*Seguimientos!$B$2:$B$1013))</f>
        <v/>
      </c>
      <c r="N35" s="8">
        <f>IF(M35=0,"",INDEX(Seguimientos!$F$2:$F$1013,MATCH(A35&amp;"|"&amp;M35,Seguimientos!$K$2:$K$1013,0)))</f>
        <v/>
      </c>
      <c r="O35" s="14">
        <f>IF(M35=0,0,INDEX(Seguimientos!$H$2:$H$1013,MATCH(A35&amp;"|"&amp;M35,Seguimientos!$K$2:$K$1013,0)))</f>
        <v/>
      </c>
      <c r="P35" s="9">
        <f>O35/2</f>
        <v/>
      </c>
      <c r="Q35" s="7">
        <f>INDEX(Escala!$B$2:$B$6,MATCH(O35,Escala!$A$2:$A$6,0))</f>
        <v/>
      </c>
      <c r="R35" s="7">
        <f>IF(O35=2,"Sí","No")</f>
        <v/>
      </c>
      <c r="S35" s="7">
        <f>IF(O35=0,"Sí","No")</f>
        <v/>
      </c>
      <c r="T35" s="7">
        <f>IF(AND(ISNUMBER(K35),O35&lt;2),IF(K35&lt;INDEX('Por sistema'!$D$5:$D$9,MATCH(B35,'Por sistema'!$A$5:$A$9,0)),"Sí","No"),"No")</f>
        <v/>
      </c>
    </row>
    <row r="36">
      <c r="A36" s="7" t="inlineStr">
        <is>
          <t>sgc-2023-27</t>
        </is>
      </c>
      <c r="B36" s="7" t="inlineStr">
        <is>
          <t>SGC</t>
        </is>
      </c>
      <c r="C36" s="7" t="inlineStr">
        <is>
          <t>Sistema de Gestión de Calidad</t>
        </is>
      </c>
      <c r="D36" s="7" t="inlineStr">
        <is>
          <t>2023</t>
        </is>
      </c>
      <c r="E36" s="7" t="n">
        <v>27</v>
      </c>
      <c r="F36" s="13" t="inlineStr">
        <is>
          <t>Actualizar el Modelo de Evaluación para los gestores del conocimiento en relación con el procedimiento, la estructura de la evaluación, la plataforma para el procesamiento de la información y la aprobación del Consejo Académico.</t>
        </is>
      </c>
      <c r="G36" s="13" t="inlineStr">
        <is>
          <t>Vicerrectoría Académica - Oficina de Desarrollo Académico - EFAD</t>
        </is>
      </c>
      <c r="H36" s="13" t="inlineStr">
        <is>
          <t>Vicerrectoría Académica, Apoyo y Desarrollo Académico, Educación Virtual y EFAD</t>
        </is>
      </c>
      <c r="I36" s="13" t="inlineStr">
        <is>
          <t>Nuevo Modelo de Evaluación para los gestores del conocimiento y procedimiento actualizado.</t>
        </is>
      </c>
      <c r="J36" s="13" t="inlineStr">
        <is>
          <t>45473</t>
        </is>
      </c>
      <c r="K36" s="8" t="n">
        <v>45473</v>
      </c>
      <c r="L36" s="7">
        <f>COUNTIF(Seguimientos!$A$2:$A$1013,A36)</f>
        <v/>
      </c>
      <c r="M36" s="7">
        <f>SUMPRODUCT(MAX((Seguimientos!$A$2:$A$1013=A36)*(Seguimientos!$H$2:$H$1013&lt;&gt;"")*Seguimientos!$B$2:$B$1013))</f>
        <v/>
      </c>
      <c r="N36" s="8">
        <f>IF(M36=0,"",INDEX(Seguimientos!$F$2:$F$1013,MATCH(A36&amp;"|"&amp;M36,Seguimientos!$K$2:$K$1013,0)))</f>
        <v/>
      </c>
      <c r="O36" s="14">
        <f>IF(M36=0,0,INDEX(Seguimientos!$H$2:$H$1013,MATCH(A36&amp;"|"&amp;M36,Seguimientos!$K$2:$K$1013,0)))</f>
        <v/>
      </c>
      <c r="P36" s="9">
        <f>O36/2</f>
        <v/>
      </c>
      <c r="Q36" s="7">
        <f>INDEX(Escala!$B$2:$B$6,MATCH(O36,Escala!$A$2:$A$6,0))</f>
        <v/>
      </c>
      <c r="R36" s="7">
        <f>IF(O36=2,"Sí","No")</f>
        <v/>
      </c>
      <c r="S36" s="7">
        <f>IF(O36=0,"Sí","No")</f>
        <v/>
      </c>
      <c r="T36" s="7">
        <f>IF(AND(ISNUMBER(K36),O36&lt;2),IF(K36&lt;INDEX('Por sistema'!$D$5:$D$9,MATCH(B36,'Por sistema'!$A$5:$A$9,0)),"Sí","No"),"No")</f>
        <v/>
      </c>
    </row>
    <row r="37">
      <c r="A37" s="7" t="inlineStr">
        <is>
          <t>sgc-2023-28</t>
        </is>
      </c>
      <c r="B37" s="7" t="inlineStr">
        <is>
          <t>SGC</t>
        </is>
      </c>
      <c r="C37" s="7" t="inlineStr">
        <is>
          <t>Sistema de Gestión de Calidad</t>
        </is>
      </c>
      <c r="D37" s="7" t="inlineStr">
        <is>
          <t>2023</t>
        </is>
      </c>
      <c r="E37" s="7" t="n">
        <v>28</v>
      </c>
      <c r="F37" s="13" t="inlineStr">
        <is>
          <t>En línea con la proposición establecida dentro de la sección de Objetivos de Calidad, si estos se actualizan, es necesario reevaluar toda la batería de indicadores en el año 2024, para ajustarlos o alinearlos en coherencia con las directrices que se definan en el Plan Rectoral y el Plan de Desarrollo.</t>
        </is>
      </c>
      <c r="G37" s="13" t="inlineStr">
        <is>
          <t>Oficina de Calidad - Comité SAC - Comisión de Gestión</t>
        </is>
      </c>
      <c r="H37" s="13" t="inlineStr">
        <is>
          <t>Calidad, Cuerpos Colegiados y Comités</t>
        </is>
      </c>
      <c r="I37" s="13" t="inlineStr">
        <is>
          <t>Batería de indicadores actualizada de acuerdo con los lineamientos de los documentos maestro(Plan rectoral y Plan de acción 2024)</t>
        </is>
      </c>
      <c r="J37" s="13" t="inlineStr">
        <is>
          <t>45473</t>
        </is>
      </c>
      <c r="K37" s="8" t="n">
        <v>45473</v>
      </c>
      <c r="L37" s="7">
        <f>COUNTIF(Seguimientos!$A$2:$A$1013,A37)</f>
        <v/>
      </c>
      <c r="M37" s="7">
        <f>SUMPRODUCT(MAX((Seguimientos!$A$2:$A$1013=A37)*(Seguimientos!$H$2:$H$1013&lt;&gt;"")*Seguimientos!$B$2:$B$1013))</f>
        <v/>
      </c>
      <c r="N37" s="8">
        <f>IF(M37=0,"",INDEX(Seguimientos!$F$2:$F$1013,MATCH(A37&amp;"|"&amp;M37,Seguimientos!$K$2:$K$1013,0)))</f>
        <v/>
      </c>
      <c r="O37" s="14">
        <f>IF(M37=0,0,INDEX(Seguimientos!$H$2:$H$1013,MATCH(A37&amp;"|"&amp;M37,Seguimientos!$K$2:$K$1013,0)))</f>
        <v/>
      </c>
      <c r="P37" s="9">
        <f>O37/2</f>
        <v/>
      </c>
      <c r="Q37" s="7">
        <f>INDEX(Escala!$B$2:$B$6,MATCH(O37,Escala!$A$2:$A$6,0))</f>
        <v/>
      </c>
      <c r="R37" s="7">
        <f>IF(O37=2,"Sí","No")</f>
        <v/>
      </c>
      <c r="S37" s="7">
        <f>IF(O37=0,"Sí","No")</f>
        <v/>
      </c>
      <c r="T37" s="7">
        <f>IF(AND(ISNUMBER(K37),O37&lt;2),IF(K37&lt;INDEX('Por sistema'!$D$5:$D$9,MATCH(B37,'Por sistema'!$A$5:$A$9,0)),"Sí","No"),"No")</f>
        <v/>
      </c>
    </row>
    <row r="38">
      <c r="A38" s="7" t="inlineStr">
        <is>
          <t>sgc-2023-29</t>
        </is>
      </c>
      <c r="B38" s="7" t="inlineStr">
        <is>
          <t>SGC</t>
        </is>
      </c>
      <c r="C38" s="7" t="inlineStr">
        <is>
          <t>Sistema de Gestión de Calidad</t>
        </is>
      </c>
      <c r="D38" s="7" t="inlineStr">
        <is>
          <t>2023</t>
        </is>
      </c>
      <c r="E38" s="7" t="n">
        <v>29</v>
      </c>
      <c r="F38" s="13" t="inlineStr">
        <is>
          <t>Realizar el seguimiento a la consolidación y avance del PETI.</t>
        </is>
      </c>
      <c r="G38" s="13" t="inlineStr">
        <is>
          <t>Comité de Sistemas</t>
        </is>
      </c>
      <c r="H38" s="13" t="inlineStr">
        <is>
          <t>Sistemas y Tecnología</t>
        </is>
      </c>
      <c r="I38" s="13" t="inlineStr">
        <is>
          <t>Informe de seguimiento a la consolidación y avance del PETI.</t>
        </is>
      </c>
      <c r="J38" s="13" t="inlineStr">
        <is>
          <t>junio 2024</t>
        </is>
      </c>
      <c r="K38" s="8" t="n"/>
      <c r="L38" s="7">
        <f>COUNTIF(Seguimientos!$A$2:$A$1013,A38)</f>
        <v/>
      </c>
      <c r="M38" s="7">
        <f>SUMPRODUCT(MAX((Seguimientos!$A$2:$A$1013=A38)*(Seguimientos!$H$2:$H$1013&lt;&gt;"")*Seguimientos!$B$2:$B$1013))</f>
        <v/>
      </c>
      <c r="N38" s="8">
        <f>IF(M38=0,"",INDEX(Seguimientos!$F$2:$F$1013,MATCH(A38&amp;"|"&amp;M38,Seguimientos!$K$2:$K$1013,0)))</f>
        <v/>
      </c>
      <c r="O38" s="14">
        <f>IF(M38=0,0,INDEX(Seguimientos!$H$2:$H$1013,MATCH(A38&amp;"|"&amp;M38,Seguimientos!$K$2:$K$1013,0)))</f>
        <v/>
      </c>
      <c r="P38" s="9">
        <f>O38/2</f>
        <v/>
      </c>
      <c r="Q38" s="7">
        <f>INDEX(Escala!$B$2:$B$6,MATCH(O38,Escala!$A$2:$A$6,0))</f>
        <v/>
      </c>
      <c r="R38" s="7">
        <f>IF(O38=2,"Sí","No")</f>
        <v/>
      </c>
      <c r="S38" s="7">
        <f>IF(O38=0,"Sí","No")</f>
        <v/>
      </c>
      <c r="T38" s="7">
        <f>IF(AND(ISNUMBER(K38),O38&lt;2),IF(K38&lt;INDEX('Por sistema'!$D$5:$D$9,MATCH(B38,'Por sistema'!$A$5:$A$9,0)),"Sí","No"),"No")</f>
        <v/>
      </c>
    </row>
    <row r="39">
      <c r="A39" s="7" t="inlineStr">
        <is>
          <t>sgc-2023-30</t>
        </is>
      </c>
      <c r="B39" s="7" t="inlineStr">
        <is>
          <t>SGC</t>
        </is>
      </c>
      <c r="C39" s="7" t="inlineStr">
        <is>
          <t>Sistema de Gestión de Calidad</t>
        </is>
      </c>
      <c r="D39" s="7" t="inlineStr">
        <is>
          <t>2023</t>
        </is>
      </c>
      <c r="E39" s="7" t="n">
        <v>30</v>
      </c>
      <c r="F39" s="13" t="inlineStr">
        <is>
          <t>Implementar la estrategia de cliente oculto para medir la efectividad de atención por medio telefónico.</t>
        </is>
      </c>
      <c r="G39" s="13" t="inlineStr">
        <is>
          <t>Oficina de Atención al Ciudadano</t>
        </is>
      </c>
      <c r="H39" s="13" t="inlineStr">
        <is>
          <t>Atención al Ciudadano</t>
        </is>
      </c>
      <c r="I39" s="13" t="inlineStr">
        <is>
          <t>Informe de implementación de la estrategia de cliente oculto para medir la efectividad de atención por medio telefónico.</t>
        </is>
      </c>
      <c r="J39" s="13" t="inlineStr">
        <is>
          <t>junio 2024</t>
        </is>
      </c>
      <c r="K39" s="8" t="n"/>
      <c r="L39" s="7">
        <f>COUNTIF(Seguimientos!$A$2:$A$1013,A39)</f>
        <v/>
      </c>
      <c r="M39" s="7">
        <f>SUMPRODUCT(MAX((Seguimientos!$A$2:$A$1013=A39)*(Seguimientos!$H$2:$H$1013&lt;&gt;"")*Seguimientos!$B$2:$B$1013))</f>
        <v/>
      </c>
      <c r="N39" s="8">
        <f>IF(M39=0,"",INDEX(Seguimientos!$F$2:$F$1013,MATCH(A39&amp;"|"&amp;M39,Seguimientos!$K$2:$K$1013,0)))</f>
        <v/>
      </c>
      <c r="O39" s="14">
        <f>IF(M39=0,0,INDEX(Seguimientos!$H$2:$H$1013,MATCH(A39&amp;"|"&amp;M39,Seguimientos!$K$2:$K$1013,0)))</f>
        <v/>
      </c>
      <c r="P39" s="9">
        <f>O39/2</f>
        <v/>
      </c>
      <c r="Q39" s="7">
        <f>INDEX(Escala!$B$2:$B$6,MATCH(O39,Escala!$A$2:$A$6,0))</f>
        <v/>
      </c>
      <c r="R39" s="7">
        <f>IF(O39=2,"Sí","No")</f>
        <v/>
      </c>
      <c r="S39" s="7">
        <f>IF(O39=0,"Sí","No")</f>
        <v/>
      </c>
      <c r="T39" s="7">
        <f>IF(AND(ISNUMBER(K39),O39&lt;2),IF(K39&lt;INDEX('Por sistema'!$D$5:$D$9,MATCH(B39,'Por sistema'!$A$5:$A$9,0)),"Sí","No"),"No")</f>
        <v/>
      </c>
    </row>
    <row r="40">
      <c r="A40" s="7" t="inlineStr">
        <is>
          <t>sgc-2023-31</t>
        </is>
      </c>
      <c r="B40" s="7" t="inlineStr">
        <is>
          <t>SGC</t>
        </is>
      </c>
      <c r="C40" s="7" t="inlineStr">
        <is>
          <t>Sistema de Gestión de Calidad</t>
        </is>
      </c>
      <c r="D40" s="7" t="inlineStr">
        <is>
          <t>2023</t>
        </is>
      </c>
      <c r="E40" s="7" t="n">
        <v>31</v>
      </c>
      <c r="F40" s="13" t="inlineStr">
        <is>
          <t>Crear un equipo interdisciplinario con las áreas de planeación, calidad, control interno y financiera, con el fin de dar lineamientos sobre los riesgos fiscales e incorporarlos a la metodología de riesgos, atendiendo la guía del DAFP de la vigencia 2022.</t>
        </is>
      </c>
      <c r="G40" s="13" t="inlineStr">
        <is>
          <t>Control Interno</t>
        </is>
      </c>
      <c r="H40" s="13" t="inlineStr">
        <is>
          <t>Control Interno</t>
        </is>
      </c>
      <c r="I40" s="13" t="inlineStr">
        <is>
          <t>Acta de conformación del equipo interdisciplinario y registros de asistencia de las sesiones de trabajo.</t>
        </is>
      </c>
      <c r="J40" s="13" t="inlineStr">
        <is>
          <t>45504</t>
        </is>
      </c>
      <c r="K40" s="8" t="n">
        <v>45504</v>
      </c>
      <c r="L40" s="7">
        <f>COUNTIF(Seguimientos!$A$2:$A$1013,A40)</f>
        <v/>
      </c>
      <c r="M40" s="7">
        <f>SUMPRODUCT(MAX((Seguimientos!$A$2:$A$1013=A40)*(Seguimientos!$H$2:$H$1013&lt;&gt;"")*Seguimientos!$B$2:$B$1013))</f>
        <v/>
      </c>
      <c r="N40" s="8">
        <f>IF(M40=0,"",INDEX(Seguimientos!$F$2:$F$1013,MATCH(A40&amp;"|"&amp;M40,Seguimientos!$K$2:$K$1013,0)))</f>
        <v/>
      </c>
      <c r="O40" s="14">
        <f>IF(M40=0,0,INDEX(Seguimientos!$H$2:$H$1013,MATCH(A40&amp;"|"&amp;M40,Seguimientos!$K$2:$K$1013,0)))</f>
        <v/>
      </c>
      <c r="P40" s="9">
        <f>O40/2</f>
        <v/>
      </c>
      <c r="Q40" s="7">
        <f>INDEX(Escala!$B$2:$B$6,MATCH(O40,Escala!$A$2:$A$6,0))</f>
        <v/>
      </c>
      <c r="R40" s="7">
        <f>IF(O40=2,"Sí","No")</f>
        <v/>
      </c>
      <c r="S40" s="7">
        <f>IF(O40=0,"Sí","No")</f>
        <v/>
      </c>
      <c r="T40" s="7">
        <f>IF(AND(ISNUMBER(K40),O40&lt;2),IF(K40&lt;INDEX('Por sistema'!$D$5:$D$9,MATCH(B40,'Por sistema'!$A$5:$A$9,0)),"Sí","No"),"No")</f>
        <v/>
      </c>
    </row>
    <row r="41">
      <c r="A41" s="7" t="inlineStr">
        <is>
          <t>sgc-2023-32</t>
        </is>
      </c>
      <c r="B41" s="7" t="inlineStr">
        <is>
          <t>SGC</t>
        </is>
      </c>
      <c r="C41" s="7" t="inlineStr">
        <is>
          <t>Sistema de Gestión de Calidad</t>
        </is>
      </c>
      <c r="D41" s="7" t="inlineStr">
        <is>
          <t>2023</t>
        </is>
      </c>
      <c r="E41" s="7" t="n">
        <v>32</v>
      </c>
      <c r="F41" s="13" t="inlineStr">
        <is>
          <t>Reinducción a los funcionarios en gestión documental física y digital.</t>
        </is>
      </c>
      <c r="G41" s="13" t="inlineStr">
        <is>
          <t>Archivo y Correspondencia</t>
        </is>
      </c>
      <c r="H41" s="13" t="inlineStr">
        <is>
          <t>Archivo y Correspondencia</t>
        </is>
      </c>
      <c r="I41" s="13" t="inlineStr">
        <is>
          <t>Registros de asistencia o grabaciones de las sesiones de reinducción.</t>
        </is>
      </c>
      <c r="J41" s="13" t="inlineStr">
        <is>
          <t>De conformidad al cronograma establecido por la Oficina de Archivo y Correspondencia para la vigencia 2024</t>
        </is>
      </c>
      <c r="K41" s="8" t="n"/>
      <c r="L41" s="7">
        <f>COUNTIF(Seguimientos!$A$2:$A$1013,A41)</f>
        <v/>
      </c>
      <c r="M41" s="7">
        <f>SUMPRODUCT(MAX((Seguimientos!$A$2:$A$1013=A41)*(Seguimientos!$H$2:$H$1013&lt;&gt;"")*Seguimientos!$B$2:$B$1013))</f>
        <v/>
      </c>
      <c r="N41" s="8">
        <f>IF(M41=0,"",INDEX(Seguimientos!$F$2:$F$1013,MATCH(A41&amp;"|"&amp;M41,Seguimientos!$K$2:$K$1013,0)))</f>
        <v/>
      </c>
      <c r="O41" s="14">
        <f>IF(M41=0,0,INDEX(Seguimientos!$H$2:$H$1013,MATCH(A41&amp;"|"&amp;M41,Seguimientos!$K$2:$K$1013,0)))</f>
        <v/>
      </c>
      <c r="P41" s="9">
        <f>O41/2</f>
        <v/>
      </c>
      <c r="Q41" s="7">
        <f>INDEX(Escala!$B$2:$B$6,MATCH(O41,Escala!$A$2:$A$6,0))</f>
        <v/>
      </c>
      <c r="R41" s="7">
        <f>IF(O41=2,"Sí","No")</f>
        <v/>
      </c>
      <c r="S41" s="7">
        <f>IF(O41=0,"Sí","No")</f>
        <v/>
      </c>
      <c r="T41" s="7">
        <f>IF(AND(ISNUMBER(K41),O41&lt;2),IF(K41&lt;INDEX('Por sistema'!$D$5:$D$9,MATCH(B41,'Por sistema'!$A$5:$A$9,0)),"Sí","No"),"No")</f>
        <v/>
      </c>
    </row>
    <row r="42">
      <c r="A42" s="7" t="inlineStr">
        <is>
          <t>sgc-2023-33</t>
        </is>
      </c>
      <c r="B42" s="7" t="inlineStr">
        <is>
          <t>SGC</t>
        </is>
      </c>
      <c r="C42" s="7" t="inlineStr">
        <is>
          <t>Sistema de Gestión de Calidad</t>
        </is>
      </c>
      <c r="D42" s="7" t="inlineStr">
        <is>
          <t>2023</t>
        </is>
      </c>
      <c r="E42" s="7" t="n">
        <v>33</v>
      </c>
      <c r="F42" s="13" t="inlineStr">
        <is>
          <t>Incluir dentro del programa de inducción y reinducción como anexos a los término fijo y planta, la realización de cursos virtuales en líneas de defensa y control de información documentada mínimo cada dos años.</t>
        </is>
      </c>
      <c r="G42" s="13" t="inlineStr">
        <is>
          <t>Dirección de Control Interno - Calidad - Talento Humano - Educación Virtual.</t>
        </is>
      </c>
      <c r="H42" s="13" t="inlineStr">
        <is>
          <t>Talento Humano, Control Interno, Calidad, Educación Virtual y EFAD</t>
        </is>
      </c>
      <c r="I42" s="13" t="inlineStr">
        <is>
          <t>Curso virtual activo y en funcionamiento en aulas virtuales, MOOCs.</t>
        </is>
      </c>
      <c r="J42" s="13" t="inlineStr">
        <is>
          <t>Prioridad Calidad IPA 2024 y posteriormente líneas de defensa IIPA 2024</t>
        </is>
      </c>
      <c r="K42" s="8" t="n"/>
      <c r="L42" s="7">
        <f>COUNTIF(Seguimientos!$A$2:$A$1013,A42)</f>
        <v/>
      </c>
      <c r="M42" s="7">
        <f>SUMPRODUCT(MAX((Seguimientos!$A$2:$A$1013=A42)*(Seguimientos!$H$2:$H$1013&lt;&gt;"")*Seguimientos!$B$2:$B$1013))</f>
        <v/>
      </c>
      <c r="N42" s="8">
        <f>IF(M42=0,"",INDEX(Seguimientos!$F$2:$F$1013,MATCH(A42&amp;"|"&amp;M42,Seguimientos!$K$2:$K$1013,0)))</f>
        <v/>
      </c>
      <c r="O42" s="14">
        <f>IF(M42=0,0,INDEX(Seguimientos!$H$2:$H$1013,MATCH(A42&amp;"|"&amp;M42,Seguimientos!$K$2:$K$1013,0)))</f>
        <v/>
      </c>
      <c r="P42" s="9">
        <f>O42/2</f>
        <v/>
      </c>
      <c r="Q42" s="7">
        <f>INDEX(Escala!$B$2:$B$6,MATCH(O42,Escala!$A$2:$A$6,0))</f>
        <v/>
      </c>
      <c r="R42" s="7">
        <f>IF(O42=2,"Sí","No")</f>
        <v/>
      </c>
      <c r="S42" s="7">
        <f>IF(O42=0,"Sí","No")</f>
        <v/>
      </c>
      <c r="T42" s="7">
        <f>IF(AND(ISNUMBER(K42),O42&lt;2),IF(K42&lt;INDEX('Por sistema'!$D$5:$D$9,MATCH(B42,'Por sistema'!$A$5:$A$9,0)),"Sí","No"),"No")</f>
        <v/>
      </c>
    </row>
    <row r="43">
      <c r="A43" s="7" t="inlineStr">
        <is>
          <t>sgc-2023-34</t>
        </is>
      </c>
      <c r="B43" s="7" t="inlineStr">
        <is>
          <t>SGC</t>
        </is>
      </c>
      <c r="C43" s="7" t="inlineStr">
        <is>
          <t>Sistema de Gestión de Calidad</t>
        </is>
      </c>
      <c r="D43" s="7" t="inlineStr">
        <is>
          <t>2023</t>
        </is>
      </c>
      <c r="E43" s="7" t="n">
        <v>34</v>
      </c>
      <c r="F43" s="13" t="inlineStr">
        <is>
          <t>Proponer la implementación de salario emocional a los líderes de proceso que gestionaron de manera efectiva planes de mejora, previa evaluación por parte del Comité de programas de incentivos y bienestar, y comités de capacitación.</t>
        </is>
      </c>
      <c r="G43" s="13" t="inlineStr">
        <is>
          <t>Talento Humano - cuerpos colegiados correspondientes</t>
        </is>
      </c>
      <c r="H43" s="13" t="inlineStr">
        <is>
          <t>Talento Humano, Cuerpos Colegiados y Comités</t>
        </is>
      </c>
      <c r="I43" s="13" t="inlineStr">
        <is>
          <t>Informe de propuesta para la implementación de salario emocional a los líderes de proceso que gestionaron de manera efectiva planes de mejora, previa evaluación por parte del Comité de programas de incentivos y bienestar, y comités de capacitación.</t>
        </is>
      </c>
      <c r="J43" s="13" t="inlineStr">
        <is>
          <t>vigencia 2024 (No pecuniarios)</t>
        </is>
      </c>
      <c r="K43" s="8" t="n"/>
      <c r="L43" s="7">
        <f>COUNTIF(Seguimientos!$A$2:$A$1013,A43)</f>
        <v/>
      </c>
      <c r="M43" s="7">
        <f>SUMPRODUCT(MAX((Seguimientos!$A$2:$A$1013=A43)*(Seguimientos!$H$2:$H$1013&lt;&gt;"")*Seguimientos!$B$2:$B$1013))</f>
        <v/>
      </c>
      <c r="N43" s="8">
        <f>IF(M43=0,"",INDEX(Seguimientos!$F$2:$F$1013,MATCH(A43&amp;"|"&amp;M43,Seguimientos!$K$2:$K$1013,0)))</f>
        <v/>
      </c>
      <c r="O43" s="14">
        <f>IF(M43=0,0,INDEX(Seguimientos!$H$2:$H$1013,MATCH(A43&amp;"|"&amp;M43,Seguimientos!$K$2:$K$1013,0)))</f>
        <v/>
      </c>
      <c r="P43" s="9">
        <f>O43/2</f>
        <v/>
      </c>
      <c r="Q43" s="7">
        <f>INDEX(Escala!$B$2:$B$6,MATCH(O43,Escala!$A$2:$A$6,0))</f>
        <v/>
      </c>
      <c r="R43" s="7">
        <f>IF(O43=2,"Sí","No")</f>
        <v/>
      </c>
      <c r="S43" s="7">
        <f>IF(O43=0,"Sí","No")</f>
        <v/>
      </c>
      <c r="T43" s="7">
        <f>IF(AND(ISNUMBER(K43),O43&lt;2),IF(K43&lt;INDEX('Por sistema'!$D$5:$D$9,MATCH(B43,'Por sistema'!$A$5:$A$9,0)),"Sí","No"),"No")</f>
        <v/>
      </c>
    </row>
    <row r="44">
      <c r="A44" s="7" t="inlineStr">
        <is>
          <t>sgc-2023-35</t>
        </is>
      </c>
      <c r="B44" s="7" t="inlineStr">
        <is>
          <t>SGC</t>
        </is>
      </c>
      <c r="C44" s="7" t="inlineStr">
        <is>
          <t>Sistema de Gestión de Calidad</t>
        </is>
      </c>
      <c r="D44" s="7" t="inlineStr">
        <is>
          <t>2023</t>
        </is>
      </c>
      <c r="E44" s="7" t="n">
        <v>35</v>
      </c>
      <c r="F44" s="13" t="inlineStr">
        <is>
          <t>Trasladar el indicador de calibración de equipos y elementos educativos de investigación a la Dirección de Investigación.</t>
        </is>
      </c>
      <c r="G44" s="13" t="inlineStr">
        <is>
          <t>Oficina de Apoyo Académico - Oficina de Calidad,</t>
        </is>
      </c>
      <c r="H44" s="13" t="inlineStr">
        <is>
          <t>Calidad, Apoyo y Desarrollo Académico</t>
        </is>
      </c>
      <c r="I44" s="13" t="inlineStr">
        <is>
          <t>N/A, El presupuesto fue asignado nuevamente al proceso de apoyo académico y la supervisión del contrato del metrólogo esta a cargo de la jefatura de Apoyo académico.</t>
        </is>
      </c>
      <c r="J44" s="13" t="inlineStr">
        <is>
          <t>vigencia 2024</t>
        </is>
      </c>
      <c r="K44" s="8" t="n"/>
      <c r="L44" s="7">
        <f>COUNTIF(Seguimientos!$A$2:$A$1013,A44)</f>
        <v/>
      </c>
      <c r="M44" s="7">
        <f>SUMPRODUCT(MAX((Seguimientos!$A$2:$A$1013=A44)*(Seguimientos!$H$2:$H$1013&lt;&gt;"")*Seguimientos!$B$2:$B$1013))</f>
        <v/>
      </c>
      <c r="N44" s="8">
        <f>IF(M44=0,"",INDEX(Seguimientos!$F$2:$F$1013,MATCH(A44&amp;"|"&amp;M44,Seguimientos!$K$2:$K$1013,0)))</f>
        <v/>
      </c>
      <c r="O44" s="14">
        <f>IF(M44=0,0,INDEX(Seguimientos!$H$2:$H$1013,MATCH(A44&amp;"|"&amp;M44,Seguimientos!$K$2:$K$1013,0)))</f>
        <v/>
      </c>
      <c r="P44" s="9">
        <f>O44/2</f>
        <v/>
      </c>
      <c r="Q44" s="7">
        <f>INDEX(Escala!$B$2:$B$6,MATCH(O44,Escala!$A$2:$A$6,0))</f>
        <v/>
      </c>
      <c r="R44" s="7">
        <f>IF(O44=2,"Sí","No")</f>
        <v/>
      </c>
      <c r="S44" s="7">
        <f>IF(O44=0,"Sí","No")</f>
        <v/>
      </c>
      <c r="T44" s="7">
        <f>IF(AND(ISNUMBER(K44),O44&lt;2),IF(K44&lt;INDEX('Por sistema'!$D$5:$D$9,MATCH(B44,'Por sistema'!$A$5:$A$9,0)),"Sí","No"),"No")</f>
        <v/>
      </c>
    </row>
    <row r="45">
      <c r="A45" s="7" t="inlineStr">
        <is>
          <t>sgc-2023-36</t>
        </is>
      </c>
      <c r="B45" s="7" t="inlineStr">
        <is>
          <t>SGC</t>
        </is>
      </c>
      <c r="C45" s="7" t="inlineStr">
        <is>
          <t>Sistema de Gestión de Calidad</t>
        </is>
      </c>
      <c r="D45" s="7" t="inlineStr">
        <is>
          <t>2023</t>
        </is>
      </c>
      <c r="E45" s="7" t="n">
        <v>36</v>
      </c>
      <c r="F45" s="13" t="inlineStr">
        <is>
          <t>Hacer una revisión del procedimiento relacionado con el banco de programas y proyectos para el ajuste, incluyendo a las áreas correspondientes de acuerdo con la naturaleza de los proyectos, para que apoyen la formulación y la supervisión de los contratos que se deriven dentro del proyecto cuando se materialice.</t>
        </is>
      </c>
      <c r="G45" s="13" t="inlineStr">
        <is>
          <t>Apoyo Académico - Bienes y Servicios - Dirección de Planeación</t>
        </is>
      </c>
      <c r="H45" s="13" t="inlineStr">
        <is>
          <t>Planeación Institucional, Bienes, Servicios y Compras, Apoyo y Desarrollo Académico</t>
        </is>
      </c>
      <c r="I45" s="13" t="inlineStr">
        <is>
          <t>Informes con las áreas o procesos encargados con el fin de realizar ajuste al procedimiento relacionado con el banco de programas y proyectos.</t>
        </is>
      </c>
      <c r="J45" s="13" t="inlineStr">
        <is>
          <t>vigencia 2024</t>
        </is>
      </c>
      <c r="K45" s="8" t="n"/>
      <c r="L45" s="7">
        <f>COUNTIF(Seguimientos!$A$2:$A$1013,A45)</f>
        <v/>
      </c>
      <c r="M45" s="7">
        <f>SUMPRODUCT(MAX((Seguimientos!$A$2:$A$1013=A45)*(Seguimientos!$H$2:$H$1013&lt;&gt;"")*Seguimientos!$B$2:$B$1013))</f>
        <v/>
      </c>
      <c r="N45" s="8">
        <f>IF(M45=0,"",INDEX(Seguimientos!$F$2:$F$1013,MATCH(A45&amp;"|"&amp;M45,Seguimientos!$K$2:$K$1013,0)))</f>
        <v/>
      </c>
      <c r="O45" s="14">
        <f>IF(M45=0,0,INDEX(Seguimientos!$H$2:$H$1013,MATCH(A45&amp;"|"&amp;M45,Seguimientos!$K$2:$K$1013,0)))</f>
        <v/>
      </c>
      <c r="P45" s="9">
        <f>O45/2</f>
        <v/>
      </c>
      <c r="Q45" s="7">
        <f>INDEX(Escala!$B$2:$B$6,MATCH(O45,Escala!$A$2:$A$6,0))</f>
        <v/>
      </c>
      <c r="R45" s="7">
        <f>IF(O45=2,"Sí","No")</f>
        <v/>
      </c>
      <c r="S45" s="7">
        <f>IF(O45=0,"Sí","No")</f>
        <v/>
      </c>
      <c r="T45" s="7">
        <f>IF(AND(ISNUMBER(K45),O45&lt;2),IF(K45&lt;INDEX('Por sistema'!$D$5:$D$9,MATCH(B45,'Por sistema'!$A$5:$A$9,0)),"Sí","No"),"No")</f>
        <v/>
      </c>
    </row>
    <row r="46">
      <c r="A46" s="7" t="inlineStr">
        <is>
          <t>sgc-2023-37</t>
        </is>
      </c>
      <c r="B46" s="7" t="inlineStr">
        <is>
          <t>SGC</t>
        </is>
      </c>
      <c r="C46" s="7" t="inlineStr">
        <is>
          <t>Sistema de Gestión de Calidad</t>
        </is>
      </c>
      <c r="D46" s="7" t="inlineStr">
        <is>
          <t>2023</t>
        </is>
      </c>
      <c r="E46" s="7" t="n">
        <v>37</v>
      </c>
      <c r="F46" s="13" t="inlineStr">
        <is>
          <t>Socializar los datos generados en las encuestas de satisfacción a las áreas responsables, con el fin de tomar decisiones.</t>
        </is>
      </c>
      <c r="G46" s="13" t="inlineStr">
        <is>
          <t>Dirección de Planeación</t>
        </is>
      </c>
      <c r="H46" s="13" t="inlineStr">
        <is>
          <t>Planeación Institucional</t>
        </is>
      </c>
      <c r="I46" s="13" t="inlineStr">
        <is>
          <t>Registros de asistencia o grabaciones de las socializaciones de los datos de encuestas de satisfacción.</t>
        </is>
      </c>
      <c r="J46" s="13" t="inlineStr">
        <is>
          <t>vigencia 2024</t>
        </is>
      </c>
      <c r="K46" s="8" t="n"/>
      <c r="L46" s="7">
        <f>COUNTIF(Seguimientos!$A$2:$A$1013,A46)</f>
        <v/>
      </c>
      <c r="M46" s="7">
        <f>SUMPRODUCT(MAX((Seguimientos!$A$2:$A$1013=A46)*(Seguimientos!$H$2:$H$1013&lt;&gt;"")*Seguimientos!$B$2:$B$1013))</f>
        <v/>
      </c>
      <c r="N46" s="8">
        <f>IF(M46=0,"",INDEX(Seguimientos!$F$2:$F$1013,MATCH(A46&amp;"|"&amp;M46,Seguimientos!$K$2:$K$1013,0)))</f>
        <v/>
      </c>
      <c r="O46" s="14">
        <f>IF(M46=0,0,INDEX(Seguimientos!$H$2:$H$1013,MATCH(A46&amp;"|"&amp;M46,Seguimientos!$K$2:$K$1013,0)))</f>
        <v/>
      </c>
      <c r="P46" s="9">
        <f>O46/2</f>
        <v/>
      </c>
      <c r="Q46" s="7">
        <f>INDEX(Escala!$B$2:$B$6,MATCH(O46,Escala!$A$2:$A$6,0))</f>
        <v/>
      </c>
      <c r="R46" s="7">
        <f>IF(O46=2,"Sí","No")</f>
        <v/>
      </c>
      <c r="S46" s="7">
        <f>IF(O46=0,"Sí","No")</f>
        <v/>
      </c>
      <c r="T46" s="7">
        <f>IF(AND(ISNUMBER(K46),O46&lt;2),IF(K46&lt;INDEX('Por sistema'!$D$5:$D$9,MATCH(B46,'Por sistema'!$A$5:$A$9,0)),"Sí","No"),"No")</f>
        <v/>
      </c>
    </row>
    <row r="47">
      <c r="A47" s="7" t="inlineStr">
        <is>
          <t>sgc-2023-38</t>
        </is>
      </c>
      <c r="B47" s="7" t="inlineStr">
        <is>
          <t>SGC</t>
        </is>
      </c>
      <c r="C47" s="7" t="inlineStr">
        <is>
          <t>Sistema de Gestión de Calidad</t>
        </is>
      </c>
      <c r="D47" s="7" t="inlineStr">
        <is>
          <t>2023</t>
        </is>
      </c>
      <c r="E47" s="7" t="n">
        <v>38</v>
      </c>
      <c r="F47" s="13" t="inlineStr">
        <is>
          <t>Fortalecer los programas de capacitación de forma que el personal desarrolle nuevas competencias y habilidades para desempeñarse en diferentes dependencias al interior de la institución.</t>
        </is>
      </c>
      <c r="G47" s="13" t="inlineStr">
        <is>
          <t>Dirección de Talento Humano</t>
        </is>
      </c>
      <c r="H47" s="13" t="inlineStr">
        <is>
          <t>Talento Humano</t>
        </is>
      </c>
      <c r="I47" s="13" t="inlineStr">
        <is>
          <t>Análisis de tendencias para evidenciar el fortalecimiento en los programas de capacitación y desarrollo de nuevas competencias y habilidades en los funcionarios al interior de las dependencias.</t>
        </is>
      </c>
      <c r="J47" s="13" t="inlineStr">
        <is>
          <t>vigencia 2024</t>
        </is>
      </c>
      <c r="K47" s="8" t="n"/>
      <c r="L47" s="7">
        <f>COUNTIF(Seguimientos!$A$2:$A$1013,A47)</f>
        <v/>
      </c>
      <c r="M47" s="7">
        <f>SUMPRODUCT(MAX((Seguimientos!$A$2:$A$1013=A47)*(Seguimientos!$H$2:$H$1013&lt;&gt;"")*Seguimientos!$B$2:$B$1013))</f>
        <v/>
      </c>
      <c r="N47" s="8">
        <f>IF(M47=0,"",INDEX(Seguimientos!$F$2:$F$1013,MATCH(A47&amp;"|"&amp;M47,Seguimientos!$K$2:$K$1013,0)))</f>
        <v/>
      </c>
      <c r="O47" s="14">
        <f>IF(M47=0,0,INDEX(Seguimientos!$H$2:$H$1013,MATCH(A47&amp;"|"&amp;M47,Seguimientos!$K$2:$K$1013,0)))</f>
        <v/>
      </c>
      <c r="P47" s="9">
        <f>O47/2</f>
        <v/>
      </c>
      <c r="Q47" s="7">
        <f>INDEX(Escala!$B$2:$B$6,MATCH(O47,Escala!$A$2:$A$6,0))</f>
        <v/>
      </c>
      <c r="R47" s="7">
        <f>IF(O47=2,"Sí","No")</f>
        <v/>
      </c>
      <c r="S47" s="7">
        <f>IF(O47=0,"Sí","No")</f>
        <v/>
      </c>
      <c r="T47" s="7">
        <f>IF(AND(ISNUMBER(K47),O47&lt;2),IF(K47&lt;INDEX('Por sistema'!$D$5:$D$9,MATCH(B47,'Por sistema'!$A$5:$A$9,0)),"Sí","No"),"No")</f>
        <v/>
      </c>
    </row>
    <row r="48">
      <c r="A48" s="7" t="inlineStr">
        <is>
          <t>sgc-2023-39</t>
        </is>
      </c>
      <c r="B48" s="7" t="inlineStr">
        <is>
          <t>SGC</t>
        </is>
      </c>
      <c r="C48" s="7" t="inlineStr">
        <is>
          <t>Sistema de Gestión de Calidad</t>
        </is>
      </c>
      <c r="D48" s="7" t="inlineStr">
        <is>
          <t>2023</t>
        </is>
      </c>
      <c r="E48" s="7" t="n">
        <v>39</v>
      </c>
      <c r="F48" s="13" t="inlineStr">
        <is>
          <t>Generar estímulos para motivar el desempeño eficaz y el compromiso de los servidores considerando los de carácter deportivo, recreativo y vacacionales, artísticos y culturales, así como la prevención de la salud, y el desarrollo profesional, entre otros.</t>
        </is>
      </c>
      <c r="G48" s="13" t="inlineStr">
        <is>
          <t>Dirección de Talento Humano</t>
        </is>
      </c>
      <c r="H48" s="13" t="inlineStr">
        <is>
          <t>Talento Humano</t>
        </is>
      </c>
      <c r="I48" s="13" t="inlineStr">
        <is>
          <t>Documento de propuesta de generación de estímulos en la motivación del desempeño eficaz y el compromiso de los servidores.</t>
        </is>
      </c>
      <c r="J48" s="13" t="inlineStr">
        <is>
          <t>vigencia 2024</t>
        </is>
      </c>
      <c r="K48" s="8" t="n"/>
      <c r="L48" s="7">
        <f>COUNTIF(Seguimientos!$A$2:$A$1013,A48)</f>
        <v/>
      </c>
      <c r="M48" s="7">
        <f>SUMPRODUCT(MAX((Seguimientos!$A$2:$A$1013=A48)*(Seguimientos!$H$2:$H$1013&lt;&gt;"")*Seguimientos!$B$2:$B$1013))</f>
        <v/>
      </c>
      <c r="N48" s="8">
        <f>IF(M48=0,"",INDEX(Seguimientos!$F$2:$F$1013,MATCH(A48&amp;"|"&amp;M48,Seguimientos!$K$2:$K$1013,0)))</f>
        <v/>
      </c>
      <c r="O48" s="14">
        <f>IF(M48=0,0,INDEX(Seguimientos!$H$2:$H$1013,MATCH(A48&amp;"|"&amp;M48,Seguimientos!$K$2:$K$1013,0)))</f>
        <v/>
      </c>
      <c r="P48" s="9">
        <f>O48/2</f>
        <v/>
      </c>
      <c r="Q48" s="7">
        <f>INDEX(Escala!$B$2:$B$6,MATCH(O48,Escala!$A$2:$A$6,0))</f>
        <v/>
      </c>
      <c r="R48" s="7">
        <f>IF(O48=2,"Sí","No")</f>
        <v/>
      </c>
      <c r="S48" s="7">
        <f>IF(O48=0,"Sí","No")</f>
        <v/>
      </c>
      <c r="T48" s="7">
        <f>IF(AND(ISNUMBER(K48),O48&lt;2),IF(K48&lt;INDEX('Por sistema'!$D$5:$D$9,MATCH(B48,'Por sistema'!$A$5:$A$9,0)),"Sí","No"),"No")</f>
        <v/>
      </c>
    </row>
    <row r="49">
      <c r="A49" s="7" t="inlineStr">
        <is>
          <t>sgc-2023-40</t>
        </is>
      </c>
      <c r="B49" s="7" t="inlineStr">
        <is>
          <t>SGC</t>
        </is>
      </c>
      <c r="C49" s="7" t="inlineStr">
        <is>
          <t>Sistema de Gestión de Calidad</t>
        </is>
      </c>
      <c r="D49" s="7" t="inlineStr">
        <is>
          <t>2023</t>
        </is>
      </c>
      <c r="E49" s="7" t="n">
        <v>40</v>
      </c>
      <c r="F49" s="13" t="inlineStr">
        <is>
          <t>Fortalecer las competencias y habilidades de los funcionarios a través de los programas de capacitación y apoyo posgradual, teniendo en cuenta que estas deben estar relacionadas con las funciones o con el área en donde se encuentran los funcionarios prestando sus servicios.</t>
        </is>
      </c>
      <c r="G49" s="13" t="inlineStr">
        <is>
          <t>Dirección de Talento Humano</t>
        </is>
      </c>
      <c r="H49" s="13" t="inlineStr">
        <is>
          <t>Talento Humano</t>
        </is>
      </c>
      <c r="I49" s="13" t="inlineStr">
        <is>
          <t>Documento de propuesta de fortalecimiento de las competencias y habilidades de los funcionarios a través de los programas de capacitación y apoyo posgradual, específicos al área en que están prestando su servicio.</t>
        </is>
      </c>
      <c r="J49" s="13" t="inlineStr">
        <is>
          <t>vigencia 2024</t>
        </is>
      </c>
      <c r="K49" s="8" t="n"/>
      <c r="L49" s="7">
        <f>COUNTIF(Seguimientos!$A$2:$A$1013,A49)</f>
        <v/>
      </c>
      <c r="M49" s="7">
        <f>SUMPRODUCT(MAX((Seguimientos!$A$2:$A$1013=A49)*(Seguimientos!$H$2:$H$1013&lt;&gt;"")*Seguimientos!$B$2:$B$1013))</f>
        <v/>
      </c>
      <c r="N49" s="8">
        <f>IF(M49=0,"",INDEX(Seguimientos!$F$2:$F$1013,MATCH(A49&amp;"|"&amp;M49,Seguimientos!$K$2:$K$1013,0)))</f>
        <v/>
      </c>
      <c r="O49" s="14">
        <f>IF(M49=0,0,INDEX(Seguimientos!$H$2:$H$1013,MATCH(A49&amp;"|"&amp;M49,Seguimientos!$K$2:$K$1013,0)))</f>
        <v/>
      </c>
      <c r="P49" s="9">
        <f>O49/2</f>
        <v/>
      </c>
      <c r="Q49" s="7">
        <f>INDEX(Escala!$B$2:$B$6,MATCH(O49,Escala!$A$2:$A$6,0))</f>
        <v/>
      </c>
      <c r="R49" s="7">
        <f>IF(O49=2,"Sí","No")</f>
        <v/>
      </c>
      <c r="S49" s="7">
        <f>IF(O49=0,"Sí","No")</f>
        <v/>
      </c>
      <c r="T49" s="7">
        <f>IF(AND(ISNUMBER(K49),O49&lt;2),IF(K49&lt;INDEX('Por sistema'!$D$5:$D$9,MATCH(B49,'Por sistema'!$A$5:$A$9,0)),"Sí","No"),"No")</f>
        <v/>
      </c>
    </row>
    <row r="50">
      <c r="A50" s="7" t="inlineStr">
        <is>
          <t>sgc-2023-41</t>
        </is>
      </c>
      <c r="B50" s="7" t="inlineStr">
        <is>
          <t>SGC</t>
        </is>
      </c>
      <c r="C50" s="7" t="inlineStr">
        <is>
          <t>Sistema de Gestión de Calidad</t>
        </is>
      </c>
      <c r="D50" s="7" t="inlineStr">
        <is>
          <t>2023</t>
        </is>
      </c>
      <c r="E50" s="7" t="n">
        <v>41</v>
      </c>
      <c r="F50" s="13" t="inlineStr">
        <is>
          <t>Fomentar los índices de rotación interna del personal con el propósito de potenciar habilidades y destrezas para el correcto desempeño de los diferentes cargos en la institución previa convocatoria interna.</t>
        </is>
      </c>
      <c r="G50" s="13" t="inlineStr">
        <is>
          <t>Dirección de Talento Humano</t>
        </is>
      </c>
      <c r="H50" s="13" t="inlineStr">
        <is>
          <t>Talento Humano</t>
        </is>
      </c>
      <c r="I50" s="13" t="inlineStr">
        <is>
          <t>Documento de propuesta de fomento de índices de rotación interna del personal con el propósito de potenciar habilidades y destrezas para el correcto desempeño de los diferentes cargos en la institución previa convocatoria interna.</t>
        </is>
      </c>
      <c r="J50" s="13" t="inlineStr">
        <is>
          <t>vigencia 2024</t>
        </is>
      </c>
      <c r="K50" s="8" t="n"/>
      <c r="L50" s="7">
        <f>COUNTIF(Seguimientos!$A$2:$A$1013,A50)</f>
        <v/>
      </c>
      <c r="M50" s="7">
        <f>SUMPRODUCT(MAX((Seguimientos!$A$2:$A$1013=A50)*(Seguimientos!$H$2:$H$1013&lt;&gt;"")*Seguimientos!$B$2:$B$1013))</f>
        <v/>
      </c>
      <c r="N50" s="8">
        <f>IF(M50=0,"",INDEX(Seguimientos!$F$2:$F$1013,MATCH(A50&amp;"|"&amp;M50,Seguimientos!$K$2:$K$1013,0)))</f>
        <v/>
      </c>
      <c r="O50" s="14">
        <f>IF(M50=0,0,INDEX(Seguimientos!$H$2:$H$1013,MATCH(A50&amp;"|"&amp;M50,Seguimientos!$K$2:$K$1013,0)))</f>
        <v/>
      </c>
      <c r="P50" s="9">
        <f>O50/2</f>
        <v/>
      </c>
      <c r="Q50" s="7">
        <f>INDEX(Escala!$B$2:$B$6,MATCH(O50,Escala!$A$2:$A$6,0))</f>
        <v/>
      </c>
      <c r="R50" s="7">
        <f>IF(O50=2,"Sí","No")</f>
        <v/>
      </c>
      <c r="S50" s="7">
        <f>IF(O50=0,"Sí","No")</f>
        <v/>
      </c>
      <c r="T50" s="7">
        <f>IF(AND(ISNUMBER(K50),O50&lt;2),IF(K50&lt;INDEX('Por sistema'!$D$5:$D$9,MATCH(B50,'Por sistema'!$A$5:$A$9,0)),"Sí","No"),"No")</f>
        <v/>
      </c>
    </row>
    <row r="51">
      <c r="A51" s="7" t="inlineStr">
        <is>
          <t>sgc-2023-42</t>
        </is>
      </c>
      <c r="B51" s="7" t="inlineStr">
        <is>
          <t>SGC</t>
        </is>
      </c>
      <c r="C51" s="7" t="inlineStr">
        <is>
          <t>Sistema de Gestión de Calidad</t>
        </is>
      </c>
      <c r="D51" s="7" t="inlineStr">
        <is>
          <t>2023</t>
        </is>
      </c>
      <c r="E51" s="7" t="n">
        <v>42</v>
      </c>
      <c r="F51" s="13" t="inlineStr">
        <is>
          <t>Elevar la meta del indicador de eficacia en control del riesgo, considerando que la traza histórica de los tres períodos anteriores es de 81%.</t>
        </is>
      </c>
      <c r="G51" s="13" t="inlineStr">
        <is>
          <t>Comité SAC</t>
        </is>
      </c>
      <c r="H51" s="13" t="inlineStr">
        <is>
          <t>Cuerpos Colegiados y Comités</t>
        </is>
      </c>
      <c r="I51" s="13" t="inlineStr">
        <is>
          <t>Acta de aprobación de aumento en la meta por parte del Comité SAC o decisión que aplique.</t>
        </is>
      </c>
      <c r="J51" s="13" t="inlineStr">
        <is>
          <t>Vigencia 2024</t>
        </is>
      </c>
      <c r="K51" s="8" t="n"/>
      <c r="L51" s="7">
        <f>COUNTIF(Seguimientos!$A$2:$A$1013,A51)</f>
        <v/>
      </c>
      <c r="M51" s="7">
        <f>SUMPRODUCT(MAX((Seguimientos!$A$2:$A$1013=A51)*(Seguimientos!$H$2:$H$1013&lt;&gt;"")*Seguimientos!$B$2:$B$1013))</f>
        <v/>
      </c>
      <c r="N51" s="8">
        <f>IF(M51=0,"",INDEX(Seguimientos!$F$2:$F$1013,MATCH(A51&amp;"|"&amp;M51,Seguimientos!$K$2:$K$1013,0)))</f>
        <v/>
      </c>
      <c r="O51" s="14">
        <f>IF(M51=0,0,INDEX(Seguimientos!$H$2:$H$1013,MATCH(A51&amp;"|"&amp;M51,Seguimientos!$K$2:$K$1013,0)))</f>
        <v/>
      </c>
      <c r="P51" s="9">
        <f>O51/2</f>
        <v/>
      </c>
      <c r="Q51" s="7">
        <f>INDEX(Escala!$B$2:$B$6,MATCH(O51,Escala!$A$2:$A$6,0))</f>
        <v/>
      </c>
      <c r="R51" s="7">
        <f>IF(O51=2,"Sí","No")</f>
        <v/>
      </c>
      <c r="S51" s="7">
        <f>IF(O51=0,"Sí","No")</f>
        <v/>
      </c>
      <c r="T51" s="7">
        <f>IF(AND(ISNUMBER(K51),O51&lt;2),IF(K51&lt;INDEX('Por sistema'!$D$5:$D$9,MATCH(B51,'Por sistema'!$A$5:$A$9,0)),"Sí","No"),"No")</f>
        <v/>
      </c>
    </row>
    <row r="52">
      <c r="A52" s="7" t="inlineStr">
        <is>
          <t>sgc-2023-43</t>
        </is>
      </c>
      <c r="B52" s="7" t="inlineStr">
        <is>
          <t>SGC</t>
        </is>
      </c>
      <c r="C52" s="7" t="inlineStr">
        <is>
          <t>Sistema de Gestión de Calidad</t>
        </is>
      </c>
      <c r="D52" s="7" t="inlineStr">
        <is>
          <t>2023</t>
        </is>
      </c>
      <c r="E52" s="7" t="n">
        <v>43</v>
      </c>
      <c r="F52" s="13" t="inlineStr">
        <is>
          <t>El rol y las responsabilidades de líder de los sistemas integrados de gestión se le asigna a la coordinación de la Oficina de Calidad, la cual depende de la Dirección de Planeación Institucional.</t>
        </is>
      </c>
      <c r="G52" s="13" t="inlineStr">
        <is>
          <t>Dirección de Planeación</t>
        </is>
      </c>
      <c r="H52" s="13" t="inlineStr">
        <is>
          <t>Planeación Institucional</t>
        </is>
      </c>
      <c r="I52" s="13" t="inlineStr">
        <is>
          <t>Plan de trabajo del Coordinador de Calidad y apropiación de estas actividades.</t>
        </is>
      </c>
      <c r="J52" s="13" t="inlineStr">
        <is>
          <t>Vigencia 2024</t>
        </is>
      </c>
      <c r="K52" s="8" t="n"/>
      <c r="L52" s="7">
        <f>COUNTIF(Seguimientos!$A$2:$A$1013,A52)</f>
        <v/>
      </c>
      <c r="M52" s="7">
        <f>SUMPRODUCT(MAX((Seguimientos!$A$2:$A$1013=A52)*(Seguimientos!$H$2:$H$1013&lt;&gt;"")*Seguimientos!$B$2:$B$1013))</f>
        <v/>
      </c>
      <c r="N52" s="8">
        <f>IF(M52=0,"",INDEX(Seguimientos!$F$2:$F$1013,MATCH(A52&amp;"|"&amp;M52,Seguimientos!$K$2:$K$1013,0)))</f>
        <v/>
      </c>
      <c r="O52" s="14">
        <f>IF(M52=0,0,INDEX(Seguimientos!$H$2:$H$1013,MATCH(A52&amp;"|"&amp;M52,Seguimientos!$K$2:$K$1013,0)))</f>
        <v/>
      </c>
      <c r="P52" s="9">
        <f>O52/2</f>
        <v/>
      </c>
      <c r="Q52" s="7">
        <f>INDEX(Escala!$B$2:$B$6,MATCH(O52,Escala!$A$2:$A$6,0))</f>
        <v/>
      </c>
      <c r="R52" s="7">
        <f>IF(O52=2,"Sí","No")</f>
        <v/>
      </c>
      <c r="S52" s="7">
        <f>IF(O52=0,"Sí","No")</f>
        <v/>
      </c>
      <c r="T52" s="7">
        <f>IF(AND(ISNUMBER(K52),O52&lt;2),IF(K52&lt;INDEX('Por sistema'!$D$5:$D$9,MATCH(B52,'Por sistema'!$A$5:$A$9,0)),"Sí","No"),"No")</f>
        <v/>
      </c>
    </row>
    <row r="53">
      <c r="A53" s="7" t="inlineStr">
        <is>
          <t>sgc-2023-44</t>
        </is>
      </c>
      <c r="B53" s="7" t="inlineStr">
        <is>
          <t>SGC</t>
        </is>
      </c>
      <c r="C53" s="7" t="inlineStr">
        <is>
          <t>Sistema de Gestión de Calidad</t>
        </is>
      </c>
      <c r="D53" s="7" t="inlineStr">
        <is>
          <t>2023</t>
        </is>
      </c>
      <c r="E53" s="7" t="n">
        <v>44</v>
      </c>
      <c r="F53" s="13" t="inlineStr">
        <is>
          <t>Generar ruta crítica de procedimientos que requieran fortalecer los controles en materia de tiempo y oportunidad de respuesta.</t>
        </is>
      </c>
      <c r="G53" s="13" t="inlineStr">
        <is>
          <t>Oficina de Calidad - Control Interno</t>
        </is>
      </c>
      <c r="H53" s="13" t="inlineStr">
        <is>
          <t>Control Interno, Calidad</t>
        </is>
      </c>
      <c r="I53" s="13" t="inlineStr">
        <is>
          <t>Cronograma ruta critica de actualización documental para la vigencia 2024.</t>
        </is>
      </c>
      <c r="J53" s="13" t="inlineStr">
        <is>
          <t>Vigencia 2024</t>
        </is>
      </c>
      <c r="K53" s="8" t="n"/>
      <c r="L53" s="7">
        <f>COUNTIF(Seguimientos!$A$2:$A$1013,A53)</f>
        <v/>
      </c>
      <c r="M53" s="7">
        <f>SUMPRODUCT(MAX((Seguimientos!$A$2:$A$1013=A53)*(Seguimientos!$H$2:$H$1013&lt;&gt;"")*Seguimientos!$B$2:$B$1013))</f>
        <v/>
      </c>
      <c r="N53" s="8">
        <f>IF(M53=0,"",INDEX(Seguimientos!$F$2:$F$1013,MATCH(A53&amp;"|"&amp;M53,Seguimientos!$K$2:$K$1013,0)))</f>
        <v/>
      </c>
      <c r="O53" s="14">
        <f>IF(M53=0,0,INDEX(Seguimientos!$H$2:$H$1013,MATCH(A53&amp;"|"&amp;M53,Seguimientos!$K$2:$K$1013,0)))</f>
        <v/>
      </c>
      <c r="P53" s="9">
        <f>O53/2</f>
        <v/>
      </c>
      <c r="Q53" s="7">
        <f>INDEX(Escala!$B$2:$B$6,MATCH(O53,Escala!$A$2:$A$6,0))</f>
        <v/>
      </c>
      <c r="R53" s="7">
        <f>IF(O53=2,"Sí","No")</f>
        <v/>
      </c>
      <c r="S53" s="7">
        <f>IF(O53=0,"Sí","No")</f>
        <v/>
      </c>
      <c r="T53" s="7">
        <f>IF(AND(ISNUMBER(K53),O53&lt;2),IF(K53&lt;INDEX('Por sistema'!$D$5:$D$9,MATCH(B53,'Por sistema'!$A$5:$A$9,0)),"Sí","No"),"No")</f>
        <v/>
      </c>
    </row>
    <row r="54">
      <c r="A54" s="7" t="inlineStr">
        <is>
          <t>sgc-2023-45</t>
        </is>
      </c>
      <c r="B54" s="7" t="inlineStr">
        <is>
          <t>SGC</t>
        </is>
      </c>
      <c r="C54" s="7" t="inlineStr">
        <is>
          <t>Sistema de Gestión de Calidad</t>
        </is>
      </c>
      <c r="D54" s="7" t="inlineStr">
        <is>
          <t>2023</t>
        </is>
      </c>
      <c r="E54" s="7" t="n">
        <v>45</v>
      </c>
      <c r="F54" s="13" t="inlineStr">
        <is>
          <t>Implementar los cambios en los procedimientos según ruta crítica.</t>
        </is>
      </c>
      <c r="G54" s="13" t="inlineStr">
        <is>
          <t>Oficina de Calidad - Líder del Proceso</t>
        </is>
      </c>
      <c r="H54" s="13" t="inlineStr">
        <is>
          <t>Calidad</t>
        </is>
      </c>
      <c r="I54" s="13" t="inlineStr">
        <is>
          <t>Documentos actualizados en el MOD, de acuerdo a ruta crítica definida para la vigencia 2024.</t>
        </is>
      </c>
      <c r="J54" s="13" t="inlineStr">
        <is>
          <t>Vigencia 2024</t>
        </is>
      </c>
      <c r="K54" s="8" t="n"/>
      <c r="L54" s="7">
        <f>COUNTIF(Seguimientos!$A$2:$A$1013,A54)</f>
        <v/>
      </c>
      <c r="M54" s="7">
        <f>SUMPRODUCT(MAX((Seguimientos!$A$2:$A$1013=A54)*(Seguimientos!$H$2:$H$1013&lt;&gt;"")*Seguimientos!$B$2:$B$1013))</f>
        <v/>
      </c>
      <c r="N54" s="8">
        <f>IF(M54=0,"",INDEX(Seguimientos!$F$2:$F$1013,MATCH(A54&amp;"|"&amp;M54,Seguimientos!$K$2:$K$1013,0)))</f>
        <v/>
      </c>
      <c r="O54" s="14">
        <f>IF(M54=0,0,INDEX(Seguimientos!$H$2:$H$1013,MATCH(A54&amp;"|"&amp;M54,Seguimientos!$K$2:$K$1013,0)))</f>
        <v/>
      </c>
      <c r="P54" s="9">
        <f>O54/2</f>
        <v/>
      </c>
      <c r="Q54" s="7">
        <f>INDEX(Escala!$B$2:$B$6,MATCH(O54,Escala!$A$2:$A$6,0))</f>
        <v/>
      </c>
      <c r="R54" s="7">
        <f>IF(O54=2,"Sí","No")</f>
        <v/>
      </c>
      <c r="S54" s="7">
        <f>IF(O54=0,"Sí","No")</f>
        <v/>
      </c>
      <c r="T54" s="7">
        <f>IF(AND(ISNUMBER(K54),O54&lt;2),IF(K54&lt;INDEX('Por sistema'!$D$5:$D$9,MATCH(B54,'Por sistema'!$A$5:$A$9,0)),"Sí","No"),"No")</f>
        <v/>
      </c>
    </row>
    <row r="55">
      <c r="A55" s="7" t="inlineStr">
        <is>
          <t>sgc-2024-1</t>
        </is>
      </c>
      <c r="B55" s="7" t="inlineStr">
        <is>
          <t>SGC</t>
        </is>
      </c>
      <c r="C55" s="7" t="inlineStr">
        <is>
          <t>Sistema de Gestión de Calidad</t>
        </is>
      </c>
      <c r="D55" s="7" t="inlineStr">
        <is>
          <t>2024</t>
        </is>
      </c>
      <c r="E55" s="7" t="n">
        <v>1</v>
      </c>
      <c r="F55" s="13" t="inlineStr">
        <is>
          <t>Priorizar los desarrollos que agilicen y aseguren la eficiencia administrativa en beneficio de los procesos, asegurando la conectividad y cubrimiento a toda la comunidad universitaria. Priorizar el aplicativo de reporte de Salidas No Conformes con el fin de que se convierta en una herramienta de reporte, gestión y control.</t>
        </is>
      </c>
      <c r="G55" s="13" t="inlineStr">
        <is>
          <t>Dirección de Sistemas y Tecnología, Sistema de Gestión de Calidad</t>
        </is>
      </c>
      <c r="H55" s="13" t="inlineStr">
        <is>
          <t>Sistemas y Tecnología, Calidad</t>
        </is>
      </c>
      <c r="I55" s="13" t="inlineStr">
        <is>
          <t>Acta de entrega de desarrollos a producción. Evidencias de la divulgación de los desarrollos específicos.</t>
        </is>
      </c>
      <c r="J55" s="13" t="inlineStr">
        <is>
          <t>45992</t>
        </is>
      </c>
      <c r="K55" s="8" t="n">
        <v>45992</v>
      </c>
      <c r="L55" s="7">
        <f>COUNTIF(Seguimientos!$A$2:$A$1013,A55)</f>
        <v/>
      </c>
      <c r="M55" s="7">
        <f>SUMPRODUCT(MAX((Seguimientos!$A$2:$A$1013=A55)*(Seguimientos!$H$2:$H$1013&lt;&gt;"")*Seguimientos!$B$2:$B$1013))</f>
        <v/>
      </c>
      <c r="N55" s="8">
        <f>IF(M55=0,"",INDEX(Seguimientos!$F$2:$F$1013,MATCH(A55&amp;"|"&amp;M55,Seguimientos!$K$2:$K$1013,0)))</f>
        <v/>
      </c>
      <c r="O55" s="14">
        <f>IF(M55=0,0,INDEX(Seguimientos!$H$2:$H$1013,MATCH(A55&amp;"|"&amp;M55,Seguimientos!$K$2:$K$1013,0)))</f>
        <v/>
      </c>
      <c r="P55" s="9">
        <f>O55/2</f>
        <v/>
      </c>
      <c r="Q55" s="7">
        <f>INDEX(Escala!$B$2:$B$6,MATCH(O55,Escala!$A$2:$A$6,0))</f>
        <v/>
      </c>
      <c r="R55" s="7">
        <f>IF(O55=2,"Sí","No")</f>
        <v/>
      </c>
      <c r="S55" s="7">
        <f>IF(O55=0,"Sí","No")</f>
        <v/>
      </c>
      <c r="T55" s="7">
        <f>IF(AND(ISNUMBER(K55),O55&lt;2),IF(K55&lt;INDEX('Por sistema'!$D$5:$D$9,MATCH(B55,'Por sistema'!$A$5:$A$9,0)),"Sí","No"),"No")</f>
        <v/>
      </c>
    </row>
    <row r="56">
      <c r="A56" s="7" t="inlineStr">
        <is>
          <t>sgc-2024-2</t>
        </is>
      </c>
      <c r="B56" s="7" t="inlineStr">
        <is>
          <t>SGC</t>
        </is>
      </c>
      <c r="C56" s="7" t="inlineStr">
        <is>
          <t>Sistema de Gestión de Calidad</t>
        </is>
      </c>
      <c r="D56" s="7" t="inlineStr">
        <is>
          <t>2024</t>
        </is>
      </c>
      <c r="E56" s="7" t="n">
        <v>2</v>
      </c>
      <c r="F56" s="13" t="inlineStr">
        <is>
          <t>Gestionar la realización de capacitaciones a los funcionarios en cuanto a la resolución de conflictos, lenguaje claro, servicio de atención al ciudadano inclusivo y la importancia del proceso servicio de atención al ciudadano en cuanto a dar respuesta en los tiempos establecidos por la ley.</t>
        </is>
      </c>
      <c r="G56" s="13" t="inlineStr">
        <is>
          <t>Oficina de Talento Humano, Oficina de Atención al Ciudadano, Sistema de Gestión de Calidad</t>
        </is>
      </c>
      <c r="H56" s="13" t="inlineStr">
        <is>
          <t>Talento Humano, Calidad, Atención al Ciudadano</t>
        </is>
      </c>
      <c r="I56" s="13" t="inlineStr">
        <is>
          <t>Listas de asistencia. Material de las capacitaciones Grabación de las capacitaciones.</t>
        </is>
      </c>
      <c r="J56" s="13" t="inlineStr">
        <is>
          <t>45992</t>
        </is>
      </c>
      <c r="K56" s="8" t="n">
        <v>45992</v>
      </c>
      <c r="L56" s="7">
        <f>COUNTIF(Seguimientos!$A$2:$A$1013,A56)</f>
        <v/>
      </c>
      <c r="M56" s="7">
        <f>SUMPRODUCT(MAX((Seguimientos!$A$2:$A$1013=A56)*(Seguimientos!$H$2:$H$1013&lt;&gt;"")*Seguimientos!$B$2:$B$1013))</f>
        <v/>
      </c>
      <c r="N56" s="8">
        <f>IF(M56=0,"",INDEX(Seguimientos!$F$2:$F$1013,MATCH(A56&amp;"|"&amp;M56,Seguimientos!$K$2:$K$1013,0)))</f>
        <v/>
      </c>
      <c r="O56" s="14">
        <f>IF(M56=0,0,INDEX(Seguimientos!$H$2:$H$1013,MATCH(A56&amp;"|"&amp;M56,Seguimientos!$K$2:$K$1013,0)))</f>
        <v/>
      </c>
      <c r="P56" s="9">
        <f>O56/2</f>
        <v/>
      </c>
      <c r="Q56" s="7">
        <f>INDEX(Escala!$B$2:$B$6,MATCH(O56,Escala!$A$2:$A$6,0))</f>
        <v/>
      </c>
      <c r="R56" s="7">
        <f>IF(O56=2,"Sí","No")</f>
        <v/>
      </c>
      <c r="S56" s="7">
        <f>IF(O56=0,"Sí","No")</f>
        <v/>
      </c>
      <c r="T56" s="7">
        <f>IF(AND(ISNUMBER(K56),O56&lt;2),IF(K56&lt;INDEX('Por sistema'!$D$5:$D$9,MATCH(B56,'Por sistema'!$A$5:$A$9,0)),"Sí","No"),"No")</f>
        <v/>
      </c>
    </row>
    <row r="57">
      <c r="A57" s="7" t="inlineStr">
        <is>
          <t>sgc-2024-3</t>
        </is>
      </c>
      <c r="B57" s="7" t="inlineStr">
        <is>
          <t>SGC</t>
        </is>
      </c>
      <c r="C57" s="7" t="inlineStr">
        <is>
          <t>Sistema de Gestión de Calidad</t>
        </is>
      </c>
      <c r="D57" s="7" t="inlineStr">
        <is>
          <t>2024</t>
        </is>
      </c>
      <c r="E57" s="7" t="n">
        <v>3</v>
      </c>
      <c r="F57" s="13" t="inlineStr">
        <is>
          <t>Establecer un marco legal y administrativo que valide las posibles medidas correctivas por incumplimiento, en principios legales aplicables, garantizando la transparencia y la equidad a los proveedores que como resultado de los criterios de evaluación su calificación sea calificado como NO CONFORME y de los otros criterios de valoración.</t>
        </is>
      </c>
      <c r="G57" s="13" t="inlineStr">
        <is>
          <t>Dirección de Bienes y Servicios, Jefatura de Compras, Sistema de Gestión de Calidad</t>
        </is>
      </c>
      <c r="H57" s="13" t="inlineStr">
        <is>
          <t>Calidad, Bienes, Servicios y Compras</t>
        </is>
      </c>
      <c r="I57" s="13" t="inlineStr">
        <is>
          <t>Resolución emitida por Bienes y Servicios revisada por jurídica, actualización del manual de compras, actualización de los documentos que soporten la calificación de los proveedores y/o contratistas.</t>
        </is>
      </c>
      <c r="J57" s="13" t="inlineStr">
        <is>
          <t>45839</t>
        </is>
      </c>
      <c r="K57" s="8" t="n">
        <v>45839</v>
      </c>
      <c r="L57" s="7">
        <f>COUNTIF(Seguimientos!$A$2:$A$1013,A57)</f>
        <v/>
      </c>
      <c r="M57" s="7">
        <f>SUMPRODUCT(MAX((Seguimientos!$A$2:$A$1013=A57)*(Seguimientos!$H$2:$H$1013&lt;&gt;"")*Seguimientos!$B$2:$B$1013))</f>
        <v/>
      </c>
      <c r="N57" s="8">
        <f>IF(M57=0,"",INDEX(Seguimientos!$F$2:$F$1013,MATCH(A57&amp;"|"&amp;M57,Seguimientos!$K$2:$K$1013,0)))</f>
        <v/>
      </c>
      <c r="O57" s="14">
        <f>IF(M57=0,0,INDEX(Seguimientos!$H$2:$H$1013,MATCH(A57&amp;"|"&amp;M57,Seguimientos!$K$2:$K$1013,0)))</f>
        <v/>
      </c>
      <c r="P57" s="9">
        <f>O57/2</f>
        <v/>
      </c>
      <c r="Q57" s="7">
        <f>INDEX(Escala!$B$2:$B$6,MATCH(O57,Escala!$A$2:$A$6,0))</f>
        <v/>
      </c>
      <c r="R57" s="7">
        <f>IF(O57=2,"Sí","No")</f>
        <v/>
      </c>
      <c r="S57" s="7">
        <f>IF(O57=0,"Sí","No")</f>
        <v/>
      </c>
      <c r="T57" s="7">
        <f>IF(AND(ISNUMBER(K57),O57&lt;2),IF(K57&lt;INDEX('Por sistema'!$D$5:$D$9,MATCH(B57,'Por sistema'!$A$5:$A$9,0)),"Sí","No"),"No")</f>
        <v/>
      </c>
    </row>
    <row r="58">
      <c r="A58" s="7" t="inlineStr">
        <is>
          <t>sgc-2024-4</t>
        </is>
      </c>
      <c r="B58" s="7" t="inlineStr">
        <is>
          <t>SGC</t>
        </is>
      </c>
      <c r="C58" s="7" t="inlineStr">
        <is>
          <t>Sistema de Gestión de Calidad</t>
        </is>
      </c>
      <c r="D58" s="7" t="inlineStr">
        <is>
          <t>2024</t>
        </is>
      </c>
      <c r="E58" s="7" t="n">
        <v>4</v>
      </c>
      <c r="F58" s="13" t="inlineStr">
        <is>
          <t>Aprobar la constitución del área para proteger los activos tecnológicos y la información sensible de una organización (cubrir los riesgos relacionados con la seguridad cibernética, robo de datos, el malware y las brechas de seguridad). Para asegurar y garantizar la protección de la infraestructura tecnológica y los datos institucionales.</t>
        </is>
      </c>
      <c r="G58" s="13" t="inlineStr">
        <is>
          <t>Dirección de Sistemas y Tecnología</t>
        </is>
      </c>
      <c r="H58" s="13" t="inlineStr">
        <is>
          <t>Sistemas y Tecnología</t>
        </is>
      </c>
      <c r="I58" s="13" t="inlineStr">
        <is>
          <t>Proyección de presupuesto el área, los roles y responsabilidades del área, información documentada (procedimientos, manuales, formatos) de operación y administración.</t>
        </is>
      </c>
      <c r="J58" s="13" t="inlineStr">
        <is>
          <t>45992</t>
        </is>
      </c>
      <c r="K58" s="8" t="n">
        <v>45992</v>
      </c>
      <c r="L58" s="7">
        <f>COUNTIF(Seguimientos!$A$2:$A$1013,A58)</f>
        <v/>
      </c>
      <c r="M58" s="7">
        <f>SUMPRODUCT(MAX((Seguimientos!$A$2:$A$1013=A58)*(Seguimientos!$H$2:$H$1013&lt;&gt;"")*Seguimientos!$B$2:$B$1013))</f>
        <v/>
      </c>
      <c r="N58" s="8">
        <f>IF(M58=0,"",INDEX(Seguimientos!$F$2:$F$1013,MATCH(A58&amp;"|"&amp;M58,Seguimientos!$K$2:$K$1013,0)))</f>
        <v/>
      </c>
      <c r="O58" s="14">
        <f>IF(M58=0,0,INDEX(Seguimientos!$H$2:$H$1013,MATCH(A58&amp;"|"&amp;M58,Seguimientos!$K$2:$K$1013,0)))</f>
        <v/>
      </c>
      <c r="P58" s="9">
        <f>O58/2</f>
        <v/>
      </c>
      <c r="Q58" s="7">
        <f>INDEX(Escala!$B$2:$B$6,MATCH(O58,Escala!$A$2:$A$6,0))</f>
        <v/>
      </c>
      <c r="R58" s="7">
        <f>IF(O58=2,"Sí","No")</f>
        <v/>
      </c>
      <c r="S58" s="7">
        <f>IF(O58=0,"Sí","No")</f>
        <v/>
      </c>
      <c r="T58" s="7">
        <f>IF(AND(ISNUMBER(K58),O58&lt;2),IF(K58&lt;INDEX('Por sistema'!$D$5:$D$9,MATCH(B58,'Por sistema'!$A$5:$A$9,0)),"Sí","No"),"No")</f>
        <v/>
      </c>
    </row>
    <row r="59">
      <c r="A59" s="7" t="inlineStr">
        <is>
          <t>sgc-2024-5</t>
        </is>
      </c>
      <c r="B59" s="7" t="inlineStr">
        <is>
          <t>SGC</t>
        </is>
      </c>
      <c r="C59" s="7" t="inlineStr">
        <is>
          <t>Sistema de Gestión de Calidad</t>
        </is>
      </c>
      <c r="D59" s="7" t="inlineStr">
        <is>
          <t>2024</t>
        </is>
      </c>
      <c r="E59" s="7" t="n">
        <v>5</v>
      </c>
      <c r="F59" s="13" t="inlineStr">
        <is>
          <t>En materia de Sistemas y tecnología la aprobación en la constitución del área de Análisis de Datos (cumplir con las políticas para la transformación digital del país, y en el marco de la línea de acción 4.2 “Decisiones Basadas en Datos” del decreto 767 de 2022, el cual refiere al establecimiento de los lineamientos generales de la política de Gobierno Digital.</t>
        </is>
      </c>
      <c r="G59" s="13" t="inlineStr">
        <is>
          <t>Dirección de Sistemas y Tecnología</t>
        </is>
      </c>
      <c r="H59" s="13" t="inlineStr">
        <is>
          <t>Sistemas y Tecnología</t>
        </is>
      </c>
      <c r="I59" s="13" t="inlineStr">
        <is>
          <t>Proyección de presupuesto el área, los roles y responsabilidades del área, información documentada (procedimientos, manuales, formatos) de operación y administración.</t>
        </is>
      </c>
      <c r="J59" s="13" t="inlineStr">
        <is>
          <t>45992</t>
        </is>
      </c>
      <c r="K59" s="8" t="n">
        <v>45992</v>
      </c>
      <c r="L59" s="7">
        <f>COUNTIF(Seguimientos!$A$2:$A$1013,A59)</f>
        <v/>
      </c>
      <c r="M59" s="7">
        <f>SUMPRODUCT(MAX((Seguimientos!$A$2:$A$1013=A59)*(Seguimientos!$H$2:$H$1013&lt;&gt;"")*Seguimientos!$B$2:$B$1013))</f>
        <v/>
      </c>
      <c r="N59" s="8">
        <f>IF(M59=0,"",INDEX(Seguimientos!$F$2:$F$1013,MATCH(A59&amp;"|"&amp;M59,Seguimientos!$K$2:$K$1013,0)))</f>
        <v/>
      </c>
      <c r="O59" s="14">
        <f>IF(M59=0,0,INDEX(Seguimientos!$H$2:$H$1013,MATCH(A59&amp;"|"&amp;M59,Seguimientos!$K$2:$K$1013,0)))</f>
        <v/>
      </c>
      <c r="P59" s="9">
        <f>O59/2</f>
        <v/>
      </c>
      <c r="Q59" s="7">
        <f>INDEX(Escala!$B$2:$B$6,MATCH(O59,Escala!$A$2:$A$6,0))</f>
        <v/>
      </c>
      <c r="R59" s="7">
        <f>IF(O59=2,"Sí","No")</f>
        <v/>
      </c>
      <c r="S59" s="7">
        <f>IF(O59=0,"Sí","No")</f>
        <v/>
      </c>
      <c r="T59" s="7">
        <f>IF(AND(ISNUMBER(K59),O59&lt;2),IF(K59&lt;INDEX('Por sistema'!$D$5:$D$9,MATCH(B59,'Por sistema'!$A$5:$A$9,0)),"Sí","No"),"No")</f>
        <v/>
      </c>
    </row>
    <row r="60">
      <c r="A60" s="7" t="inlineStr">
        <is>
          <t>sgc-2024-6</t>
        </is>
      </c>
      <c r="B60" s="7" t="inlineStr">
        <is>
          <t>SGC</t>
        </is>
      </c>
      <c r="C60" s="7" t="inlineStr">
        <is>
          <t>Sistema de Gestión de Calidad</t>
        </is>
      </c>
      <c r="D60" s="7" t="inlineStr">
        <is>
          <t>2024</t>
        </is>
      </c>
      <c r="E60" s="7" t="n">
        <v>6</v>
      </c>
      <c r="F60" s="13" t="inlineStr">
        <is>
          <t>En materia de recursos físicos, Coordinar con la Dirección de Planeación, la Dirección de Bienes y Servicios, la Dirección Jurídica y expertos externos para diseñar una estrategia integral que permita resolver las situaciones urbanísticas que obstaculicen el crecimiento de la planta física incluyendo el Plan de Infraestructura Física, alineado con los lineamientos establecidos en la norma NTC 6714:2023.</t>
        </is>
      </c>
      <c r="G60" s="13" t="inlineStr">
        <is>
          <t>Dirección de Bienes y Servicios, Jefatura de Recursos Físicos y Servicios Generales Dirección Jurídica, Dirección de Planeación Institucional</t>
        </is>
      </c>
      <c r="H60" s="13" t="inlineStr">
        <is>
          <t>Planeación Institucional, Bienes, Servicios y Compras, Recursos Físicos, Dirección Jurídica</t>
        </is>
      </c>
      <c r="I60" s="13" t="inlineStr">
        <is>
          <t>Cronograma de actividades urbanísticas, asignación de recursos, plan de infraestructura física, soportes técnicos de la adecuación con el visto bueno de la Dirección Jurídica.</t>
        </is>
      </c>
      <c r="J60" s="13" t="inlineStr">
        <is>
          <t>45992</t>
        </is>
      </c>
      <c r="K60" s="8" t="n">
        <v>45992</v>
      </c>
      <c r="L60" s="7">
        <f>COUNTIF(Seguimientos!$A$2:$A$1013,A60)</f>
        <v/>
      </c>
      <c r="M60" s="7">
        <f>SUMPRODUCT(MAX((Seguimientos!$A$2:$A$1013=A60)*(Seguimientos!$H$2:$H$1013&lt;&gt;"")*Seguimientos!$B$2:$B$1013))</f>
        <v/>
      </c>
      <c r="N60" s="8">
        <f>IF(M60=0,"",INDEX(Seguimientos!$F$2:$F$1013,MATCH(A60&amp;"|"&amp;M60,Seguimientos!$K$2:$K$1013,0)))</f>
        <v/>
      </c>
      <c r="O60" s="14">
        <f>IF(M60=0,0,INDEX(Seguimientos!$H$2:$H$1013,MATCH(A60&amp;"|"&amp;M60,Seguimientos!$K$2:$K$1013,0)))</f>
        <v/>
      </c>
      <c r="P60" s="9">
        <f>O60/2</f>
        <v/>
      </c>
      <c r="Q60" s="7">
        <f>INDEX(Escala!$B$2:$B$6,MATCH(O60,Escala!$A$2:$A$6,0))</f>
        <v/>
      </c>
      <c r="R60" s="7">
        <f>IF(O60=2,"Sí","No")</f>
        <v/>
      </c>
      <c r="S60" s="7">
        <f>IF(O60=0,"Sí","No")</f>
        <v/>
      </c>
      <c r="T60" s="7">
        <f>IF(AND(ISNUMBER(K60),O60&lt;2),IF(K60&lt;INDEX('Por sistema'!$D$5:$D$9,MATCH(B60,'Por sistema'!$A$5:$A$9,0)),"Sí","No"),"No")</f>
        <v/>
      </c>
    </row>
    <row r="61">
      <c r="A61" s="7" t="inlineStr">
        <is>
          <t>sgc-2024-7</t>
        </is>
      </c>
      <c r="B61" s="7" t="inlineStr">
        <is>
          <t>SGC</t>
        </is>
      </c>
      <c r="C61" s="7" t="inlineStr">
        <is>
          <t>Sistema de Gestión de Calidad</t>
        </is>
      </c>
      <c r="D61" s="7" t="inlineStr">
        <is>
          <t>2024</t>
        </is>
      </c>
      <c r="E61" s="7" t="n">
        <v>7</v>
      </c>
      <c r="F61" s="13" t="inlineStr">
        <is>
          <t>Establecer mediante el desarrollo de actividades de formación continua específicas sobre la correcta ejecución de contratos y la gestión de novedades, adiciones, prórrogas o suspensiones, etc. (asegurar que los supervisores e interventores desempeñen de manera efectiva su rol, apoyados en la Resolución 206 de 2012 Art.33 “Responsabilidad de supervisores e interventores” y resolución 170 de 2017 la cual modifica dicho artículo, en la ejecución de los contratos).</t>
        </is>
      </c>
      <c r="G61" s="13" t="inlineStr">
        <is>
          <t>Dirección de Bienes y Servicios, Jefatura de Compras, Oficina de Calidad, Dirección de Talento Humano</t>
        </is>
      </c>
      <c r="H61" s="13" t="inlineStr">
        <is>
          <t>Talento Humano, Calidad, Bienes, Servicios y Compras</t>
        </is>
      </c>
      <c r="I61" s="13" t="inlineStr">
        <is>
          <t>Listas de asistencia, material de las capacitaciones, grabación de las capacitaciones.</t>
        </is>
      </c>
      <c r="J61" s="13" t="inlineStr">
        <is>
          <t>45809</t>
        </is>
      </c>
      <c r="K61" s="8" t="n">
        <v>45809</v>
      </c>
      <c r="L61" s="7">
        <f>COUNTIF(Seguimientos!$A$2:$A$1013,A61)</f>
        <v/>
      </c>
      <c r="M61" s="7">
        <f>SUMPRODUCT(MAX((Seguimientos!$A$2:$A$1013=A61)*(Seguimientos!$H$2:$H$1013&lt;&gt;"")*Seguimientos!$B$2:$B$1013))</f>
        <v/>
      </c>
      <c r="N61" s="8">
        <f>IF(M61=0,"",INDEX(Seguimientos!$F$2:$F$1013,MATCH(A61&amp;"|"&amp;M61,Seguimientos!$K$2:$K$1013,0)))</f>
        <v/>
      </c>
      <c r="O61" s="14">
        <f>IF(M61=0,0,INDEX(Seguimientos!$H$2:$H$1013,MATCH(A61&amp;"|"&amp;M61,Seguimientos!$K$2:$K$1013,0)))</f>
        <v/>
      </c>
      <c r="P61" s="9">
        <f>O61/2</f>
        <v/>
      </c>
      <c r="Q61" s="7">
        <f>INDEX(Escala!$B$2:$B$6,MATCH(O61,Escala!$A$2:$A$6,0))</f>
        <v/>
      </c>
      <c r="R61" s="7">
        <f>IF(O61=2,"Sí","No")</f>
        <v/>
      </c>
      <c r="S61" s="7">
        <f>IF(O61=0,"Sí","No")</f>
        <v/>
      </c>
      <c r="T61" s="7">
        <f>IF(AND(ISNUMBER(K61),O61&lt;2),IF(K61&lt;INDEX('Por sistema'!$D$5:$D$9,MATCH(B61,'Por sistema'!$A$5:$A$9,0)),"Sí","No"),"No")</f>
        <v/>
      </c>
    </row>
    <row r="62">
      <c r="A62" s="7" t="inlineStr">
        <is>
          <t>sgc-2024-8</t>
        </is>
      </c>
      <c r="B62" s="7" t="inlineStr">
        <is>
          <t>SGC</t>
        </is>
      </c>
      <c r="C62" s="7" t="inlineStr">
        <is>
          <t>Sistema de Gestión de Calidad</t>
        </is>
      </c>
      <c r="D62" s="7" t="inlineStr">
        <is>
          <t>2024</t>
        </is>
      </c>
      <c r="E62" s="7" t="n">
        <v>8</v>
      </c>
      <c r="F62" s="13" t="inlineStr">
        <is>
          <t>Realizar los análisis de Planes de mejoramiento para unificarlos, teniendo en cuenta el origen del hallazgo y la naturaleza de la misma.</t>
        </is>
      </c>
      <c r="G62" s="13" t="inlineStr">
        <is>
          <t>Dirección Control Interno, Sistema de Gestión de Calidad</t>
        </is>
      </c>
      <c r="H62" s="13" t="inlineStr">
        <is>
          <t>Control Interno, Calidad</t>
        </is>
      </c>
      <c r="I62" s="13" t="inlineStr">
        <is>
          <t>PM Plataforma de Control Interno - SEGUIMIENTO.</t>
        </is>
      </c>
      <c r="J62" s="13" t="inlineStr">
        <is>
          <t>45992</t>
        </is>
      </c>
      <c r="K62" s="8" t="n">
        <v>45992</v>
      </c>
      <c r="L62" s="7">
        <f>COUNTIF(Seguimientos!$A$2:$A$1013,A62)</f>
        <v/>
      </c>
      <c r="M62" s="7">
        <f>SUMPRODUCT(MAX((Seguimientos!$A$2:$A$1013=A62)*(Seguimientos!$H$2:$H$1013&lt;&gt;"")*Seguimientos!$B$2:$B$1013))</f>
        <v/>
      </c>
      <c r="N62" s="8">
        <f>IF(M62=0,"",INDEX(Seguimientos!$F$2:$F$1013,MATCH(A62&amp;"|"&amp;M62,Seguimientos!$K$2:$K$1013,0)))</f>
        <v/>
      </c>
      <c r="O62" s="14">
        <f>IF(M62=0,0,INDEX(Seguimientos!$H$2:$H$1013,MATCH(A62&amp;"|"&amp;M62,Seguimientos!$K$2:$K$1013,0)))</f>
        <v/>
      </c>
      <c r="P62" s="9">
        <f>O62/2</f>
        <v/>
      </c>
      <c r="Q62" s="7">
        <f>INDEX(Escala!$B$2:$B$6,MATCH(O62,Escala!$A$2:$A$6,0))</f>
        <v/>
      </c>
      <c r="R62" s="7">
        <f>IF(O62=2,"Sí","No")</f>
        <v/>
      </c>
      <c r="S62" s="7">
        <f>IF(O62=0,"Sí","No")</f>
        <v/>
      </c>
      <c r="T62" s="7">
        <f>IF(AND(ISNUMBER(K62),O62&lt;2),IF(K62&lt;INDEX('Por sistema'!$D$5:$D$9,MATCH(B62,'Por sistema'!$A$5:$A$9,0)),"Sí","No"),"No")</f>
        <v/>
      </c>
    </row>
    <row r="63">
      <c r="A63" s="7" t="inlineStr">
        <is>
          <t>sgc-2024-9</t>
        </is>
      </c>
      <c r="B63" s="7" t="inlineStr">
        <is>
          <t>SGC</t>
        </is>
      </c>
      <c r="C63" s="7" t="inlineStr">
        <is>
          <t>Sistema de Gestión de Calidad</t>
        </is>
      </c>
      <c r="D63" s="7" t="inlineStr">
        <is>
          <t>2024</t>
        </is>
      </c>
      <c r="E63" s="7" t="n">
        <v>9</v>
      </c>
      <c r="F63" s="13" t="inlineStr">
        <is>
          <t>Para gestionar y mantener la mejora continua del SIG, hacer uso del modelo pensamiento analítico de la universidad de Cundinamarca, para sacar diferencias y conclusiones, elementos importantes para que los procesos sean agiles, amigables, dinámicos y adecuados en los SIG.</t>
        </is>
      </c>
      <c r="G63" s="13" t="inlineStr">
        <is>
          <t>Sistema de Gestión de Calidad</t>
        </is>
      </c>
      <c r="H63" s="13" t="inlineStr">
        <is>
          <t>Calidad</t>
        </is>
      </c>
      <c r="I63" s="13" t="inlineStr">
        <is>
          <t>Informe y estadísticas del SAD</t>
        </is>
      </c>
      <c r="J63" s="13" t="inlineStr">
        <is>
          <t>45992</t>
        </is>
      </c>
      <c r="K63" s="8" t="n">
        <v>45992</v>
      </c>
      <c r="L63" s="7">
        <f>COUNTIF(Seguimientos!$A$2:$A$1013,A63)</f>
        <v/>
      </c>
      <c r="M63" s="7">
        <f>SUMPRODUCT(MAX((Seguimientos!$A$2:$A$1013=A63)*(Seguimientos!$H$2:$H$1013&lt;&gt;"")*Seguimientos!$B$2:$B$1013))</f>
        <v/>
      </c>
      <c r="N63" s="8">
        <f>IF(M63=0,"",INDEX(Seguimientos!$F$2:$F$1013,MATCH(A63&amp;"|"&amp;M63,Seguimientos!$K$2:$K$1013,0)))</f>
        <v/>
      </c>
      <c r="O63" s="14">
        <f>IF(M63=0,0,INDEX(Seguimientos!$H$2:$H$1013,MATCH(A63&amp;"|"&amp;M63,Seguimientos!$K$2:$K$1013,0)))</f>
        <v/>
      </c>
      <c r="P63" s="9">
        <f>O63/2</f>
        <v/>
      </c>
      <c r="Q63" s="7">
        <f>INDEX(Escala!$B$2:$B$6,MATCH(O63,Escala!$A$2:$A$6,0))</f>
        <v/>
      </c>
      <c r="R63" s="7">
        <f>IF(O63=2,"Sí","No")</f>
        <v/>
      </c>
      <c r="S63" s="7">
        <f>IF(O63=0,"Sí","No")</f>
        <v/>
      </c>
      <c r="T63" s="7">
        <f>IF(AND(ISNUMBER(K63),O63&lt;2),IF(K63&lt;INDEX('Por sistema'!$D$5:$D$9,MATCH(B63,'Por sistema'!$A$5:$A$9,0)),"Sí","No"),"No")</f>
        <v/>
      </c>
    </row>
    <row r="64">
      <c r="A64" s="7" t="inlineStr">
        <is>
          <t>sgc-2024-10</t>
        </is>
      </c>
      <c r="B64" s="7" t="inlineStr">
        <is>
          <t>SGC</t>
        </is>
      </c>
      <c r="C64" s="7" t="inlineStr">
        <is>
          <t>Sistema de Gestión de Calidad</t>
        </is>
      </c>
      <c r="D64" s="7" t="inlineStr">
        <is>
          <t>2024</t>
        </is>
      </c>
      <c r="E64" s="7" t="n">
        <v>10</v>
      </c>
      <c r="F64" s="13" t="inlineStr">
        <is>
          <t>Definir o fomentar las políticas de traslados a nivel administrativo y académico, para contrarrestar la fuga de conocimiento y mejorar resultados de permanencia (tipo salario emocional).</t>
        </is>
      </c>
      <c r="G64" s="13" t="inlineStr">
        <is>
          <t>Dirección de Talento Humano, Vicerrectoría Administrativa y Financiera, Sistema de Gestión de Calidad</t>
        </is>
      </c>
      <c r="H64" s="13" t="inlineStr">
        <is>
          <t>Talento Humano, Calidad, Vicerrectoría Administrativa y Financiera</t>
        </is>
      </c>
      <c r="I64" s="13" t="inlineStr">
        <is>
          <t>Cronograma de plan de trabajo Política de Gestión de Conocimiento Divulgación Medición y Resultados.</t>
        </is>
      </c>
      <c r="J64" s="13" t="inlineStr">
        <is>
          <t>45992</t>
        </is>
      </c>
      <c r="K64" s="8" t="n">
        <v>45992</v>
      </c>
      <c r="L64" s="7">
        <f>COUNTIF(Seguimientos!$A$2:$A$1013,A64)</f>
        <v/>
      </c>
      <c r="M64" s="7">
        <f>SUMPRODUCT(MAX((Seguimientos!$A$2:$A$1013=A64)*(Seguimientos!$H$2:$H$1013&lt;&gt;"")*Seguimientos!$B$2:$B$1013))</f>
        <v/>
      </c>
      <c r="N64" s="8">
        <f>IF(M64=0,"",INDEX(Seguimientos!$F$2:$F$1013,MATCH(A64&amp;"|"&amp;M64,Seguimientos!$K$2:$K$1013,0)))</f>
        <v/>
      </c>
      <c r="O64" s="14">
        <f>IF(M64=0,0,INDEX(Seguimientos!$H$2:$H$1013,MATCH(A64&amp;"|"&amp;M64,Seguimientos!$K$2:$K$1013,0)))</f>
        <v/>
      </c>
      <c r="P64" s="9">
        <f>O64/2</f>
        <v/>
      </c>
      <c r="Q64" s="7">
        <f>INDEX(Escala!$B$2:$B$6,MATCH(O64,Escala!$A$2:$A$6,0))</f>
        <v/>
      </c>
      <c r="R64" s="7">
        <f>IF(O64=2,"Sí","No")</f>
        <v/>
      </c>
      <c r="S64" s="7">
        <f>IF(O64=0,"Sí","No")</f>
        <v/>
      </c>
      <c r="T64" s="7">
        <f>IF(AND(ISNUMBER(K64),O64&lt;2),IF(K64&lt;INDEX('Por sistema'!$D$5:$D$9,MATCH(B64,'Por sistema'!$A$5:$A$9,0)),"Sí","No"),"No")</f>
        <v/>
      </c>
    </row>
    <row r="65">
      <c r="A65" s="7" t="inlineStr">
        <is>
          <t>sgc-2024-11</t>
        </is>
      </c>
      <c r="B65" s="7" t="inlineStr">
        <is>
          <t>SGC</t>
        </is>
      </c>
      <c r="C65" s="7" t="inlineStr">
        <is>
          <t>Sistema de Gestión de Calidad</t>
        </is>
      </c>
      <c r="D65" s="7" t="inlineStr">
        <is>
          <t>2024</t>
        </is>
      </c>
      <c r="E65" s="7" t="n">
        <v>11</v>
      </c>
      <c r="F65" s="13" t="inlineStr">
        <is>
          <t>Incluir en la evaluación de desempeño a nivel Administrativo y Académico, la toma de conciencia en los temas relacionados con las responsabilidades y autoridad frente a los diferentes Sistemas de Gestión de la Universidad.</t>
        </is>
      </c>
      <c r="G65" s="13" t="inlineStr">
        <is>
          <t>Dirección de Talento Humano, Sistema de Gestión de Calidad</t>
        </is>
      </c>
      <c r="H65" s="13" t="inlineStr">
        <is>
          <t>Talento Humano, Calidad</t>
        </is>
      </c>
      <c r="I65" s="13" t="inlineStr">
        <is>
          <t>Cronograma de plan de trabajo Resolución Evaluación Desempeño Divulgación Aplicación, Medición y Resultados Evaluación del Desempeño</t>
        </is>
      </c>
      <c r="J65" s="13" t="inlineStr">
        <is>
          <t>45992</t>
        </is>
      </c>
      <c r="K65" s="8" t="n">
        <v>45992</v>
      </c>
      <c r="L65" s="7">
        <f>COUNTIF(Seguimientos!$A$2:$A$1013,A65)</f>
        <v/>
      </c>
      <c r="M65" s="7">
        <f>SUMPRODUCT(MAX((Seguimientos!$A$2:$A$1013=A65)*(Seguimientos!$H$2:$H$1013&lt;&gt;"")*Seguimientos!$B$2:$B$1013))</f>
        <v/>
      </c>
      <c r="N65" s="8">
        <f>IF(M65=0,"",INDEX(Seguimientos!$F$2:$F$1013,MATCH(A65&amp;"|"&amp;M65,Seguimientos!$K$2:$K$1013,0)))</f>
        <v/>
      </c>
      <c r="O65" s="14">
        <f>IF(M65=0,0,INDEX(Seguimientos!$H$2:$H$1013,MATCH(A65&amp;"|"&amp;M65,Seguimientos!$K$2:$K$1013,0)))</f>
        <v/>
      </c>
      <c r="P65" s="9">
        <f>O65/2</f>
        <v/>
      </c>
      <c r="Q65" s="7">
        <f>INDEX(Escala!$B$2:$B$6,MATCH(O65,Escala!$A$2:$A$6,0))</f>
        <v/>
      </c>
      <c r="R65" s="7">
        <f>IF(O65=2,"Sí","No")</f>
        <v/>
      </c>
      <c r="S65" s="7">
        <f>IF(O65=0,"Sí","No")</f>
        <v/>
      </c>
      <c r="T65" s="7">
        <f>IF(AND(ISNUMBER(K65),O65&lt;2),IF(K65&lt;INDEX('Por sistema'!$D$5:$D$9,MATCH(B65,'Por sistema'!$A$5:$A$9,0)),"Sí","No"),"No")</f>
        <v/>
      </c>
    </row>
    <row r="66">
      <c r="A66" s="7" t="inlineStr">
        <is>
          <t>sgc-2025-1</t>
        </is>
      </c>
      <c r="B66" s="7" t="inlineStr">
        <is>
          <t>SGC</t>
        </is>
      </c>
      <c r="C66" s="7" t="inlineStr">
        <is>
          <t>Sistema de Gestión de Calidad</t>
        </is>
      </c>
      <c r="D66" s="7" t="inlineStr">
        <is>
          <t>2025</t>
        </is>
      </c>
      <c r="E66" s="7" t="n">
        <v>1</v>
      </c>
      <c r="F66" s="13" t="inlineStr">
        <is>
          <t>Revisar, ajustar y aprobar las tablas de retención documental de los procesos identificados en el modelo de operación digital aplicando los requisitos de las normas ISO implementadas por la Institución.</t>
        </is>
      </c>
      <c r="G66" s="13" t="inlineStr">
        <is>
          <t>Oficina de Archivo y Correspondencia</t>
        </is>
      </c>
      <c r="H66" s="13" t="inlineStr">
        <is>
          <t>Archivo y Correspondencia</t>
        </is>
      </c>
      <c r="I66" s="13" t="inlineStr">
        <is>
          <t>Actas de Comisión Desempeño Acto administrativo de adopción Tablas de valoración documental. Tablas de Retención documental vigentes</t>
        </is>
      </c>
      <c r="J66" s="13" t="inlineStr">
        <is>
          <t>46142</t>
        </is>
      </c>
      <c r="K66" s="8" t="n">
        <v>46142</v>
      </c>
      <c r="L66" s="7">
        <f>COUNTIF(Seguimientos!$A$2:$A$1013,A66)</f>
        <v/>
      </c>
      <c r="M66" s="7">
        <f>SUMPRODUCT(MAX((Seguimientos!$A$2:$A$1013=A66)*(Seguimientos!$H$2:$H$1013&lt;&gt;"")*Seguimientos!$B$2:$B$1013))</f>
        <v/>
      </c>
      <c r="N66" s="8">
        <f>IF(M66=0,"",INDEX(Seguimientos!$F$2:$F$1013,MATCH(A66&amp;"|"&amp;M66,Seguimientos!$K$2:$K$1013,0)))</f>
        <v/>
      </c>
      <c r="O66" s="14">
        <f>IF(M66=0,0,INDEX(Seguimientos!$H$2:$H$1013,MATCH(A66&amp;"|"&amp;M66,Seguimientos!$K$2:$K$1013,0)))</f>
        <v/>
      </c>
      <c r="P66" s="9">
        <f>O66/2</f>
        <v/>
      </c>
      <c r="Q66" s="7">
        <f>INDEX(Escala!$B$2:$B$6,MATCH(O66,Escala!$A$2:$A$6,0))</f>
        <v/>
      </c>
      <c r="R66" s="7">
        <f>IF(O66=2,"Sí","No")</f>
        <v/>
      </c>
      <c r="S66" s="7">
        <f>IF(O66=0,"Sí","No")</f>
        <v/>
      </c>
      <c r="T66" s="7">
        <f>IF(AND(ISNUMBER(K66),O66&lt;2),IF(K66&lt;INDEX('Por sistema'!$D$5:$D$9,MATCH(B66,'Por sistema'!$A$5:$A$9,0)),"Sí","No"),"No")</f>
        <v/>
      </c>
    </row>
    <row r="67">
      <c r="A67" s="7" t="inlineStr">
        <is>
          <t>sgc-2025-2</t>
        </is>
      </c>
      <c r="B67" s="7" t="inlineStr">
        <is>
          <t>SGC</t>
        </is>
      </c>
      <c r="C67" s="7" t="inlineStr">
        <is>
          <t>Sistema de Gestión de Calidad</t>
        </is>
      </c>
      <c r="D67" s="7" t="inlineStr">
        <is>
          <t>2025</t>
        </is>
      </c>
      <c r="E67" s="7" t="n">
        <v>2</v>
      </c>
      <c r="F67" s="13" t="inlineStr">
        <is>
          <t>Revisar el instrumento aplicado para medir la satisfacción de Clientes de los Sistemas de Gestión y de la Institución.</t>
        </is>
      </c>
      <c r="G67" s="13" t="inlineStr">
        <is>
          <t>Dirección Planeación Institucional</t>
        </is>
      </c>
      <c r="H67" s="13" t="inlineStr">
        <is>
          <t>Planeación Institucional</t>
        </is>
      </c>
      <c r="I67" s="13" t="inlineStr">
        <is>
          <t>Instrumento encuesta de satisfacción revisado.</t>
        </is>
      </c>
      <c r="J67" s="13" t="inlineStr">
        <is>
          <t>46112</t>
        </is>
      </c>
      <c r="K67" s="8" t="n">
        <v>46112</v>
      </c>
      <c r="L67" s="7">
        <f>COUNTIF(Seguimientos!$A$2:$A$1013,A67)</f>
        <v/>
      </c>
      <c r="M67" s="7">
        <f>SUMPRODUCT(MAX((Seguimientos!$A$2:$A$1013=A67)*(Seguimientos!$H$2:$H$1013&lt;&gt;"")*Seguimientos!$B$2:$B$1013))</f>
        <v/>
      </c>
      <c r="N67" s="8">
        <f>IF(M67=0,"",INDEX(Seguimientos!$F$2:$F$1013,MATCH(A67&amp;"|"&amp;M67,Seguimientos!$K$2:$K$1013,0)))</f>
        <v/>
      </c>
      <c r="O67" s="14">
        <f>IF(M67=0,0,INDEX(Seguimientos!$H$2:$H$1013,MATCH(A67&amp;"|"&amp;M67,Seguimientos!$K$2:$K$1013,0)))</f>
        <v/>
      </c>
      <c r="P67" s="9">
        <f>O67/2</f>
        <v/>
      </c>
      <c r="Q67" s="7">
        <f>INDEX(Escala!$B$2:$B$6,MATCH(O67,Escala!$A$2:$A$6,0))</f>
        <v/>
      </c>
      <c r="R67" s="7">
        <f>IF(O67=2,"Sí","No")</f>
        <v/>
      </c>
      <c r="S67" s="7">
        <f>IF(O67=0,"Sí","No")</f>
        <v/>
      </c>
      <c r="T67" s="7">
        <f>IF(AND(ISNUMBER(K67),O67&lt;2),IF(K67&lt;INDEX('Por sistema'!$D$5:$D$9,MATCH(B67,'Por sistema'!$A$5:$A$9,0)),"Sí","No"),"No")</f>
        <v/>
      </c>
    </row>
    <row r="68">
      <c r="A68" s="7" t="inlineStr">
        <is>
          <t>sgc-2025-3</t>
        </is>
      </c>
      <c r="B68" s="7" t="inlineStr">
        <is>
          <t>SGC</t>
        </is>
      </c>
      <c r="C68" s="7" t="inlineStr">
        <is>
          <t>Sistema de Gestión de Calidad</t>
        </is>
      </c>
      <c r="D68" s="7" t="inlineStr">
        <is>
          <t>2025</t>
        </is>
      </c>
      <c r="E68" s="7" t="n">
        <v>3</v>
      </c>
      <c r="F68" s="13" t="inlineStr">
        <is>
          <t>Elaboración y aprobación de los Riesgos Fiscales Institucionales iniciales con corte vigencia 2025</t>
        </is>
      </c>
      <c r="G68" s="13" t="inlineStr">
        <is>
          <t>Oficina de Calidad</t>
        </is>
      </c>
      <c r="H68" s="13" t="inlineStr">
        <is>
          <t>Calidad</t>
        </is>
      </c>
      <c r="I68" s="13" t="inlineStr">
        <is>
          <t>Matriz de Riesgos Fiscales 2025</t>
        </is>
      </c>
      <c r="J68" s="13" t="inlineStr">
        <is>
          <t>31/06/2026</t>
        </is>
      </c>
      <c r="K68" s="8" t="n"/>
      <c r="L68" s="7">
        <f>COUNTIF(Seguimientos!$A$2:$A$1013,A68)</f>
        <v/>
      </c>
      <c r="M68" s="7">
        <f>SUMPRODUCT(MAX((Seguimientos!$A$2:$A$1013=A68)*(Seguimientos!$H$2:$H$1013&lt;&gt;"")*Seguimientos!$B$2:$B$1013))</f>
        <v/>
      </c>
      <c r="N68" s="8">
        <f>IF(M68=0,"",INDEX(Seguimientos!$F$2:$F$1013,MATCH(A68&amp;"|"&amp;M68,Seguimientos!$K$2:$K$1013,0)))</f>
        <v/>
      </c>
      <c r="O68" s="14">
        <f>IF(M68=0,0,INDEX(Seguimientos!$H$2:$H$1013,MATCH(A68&amp;"|"&amp;M68,Seguimientos!$K$2:$K$1013,0)))</f>
        <v/>
      </c>
      <c r="P68" s="9">
        <f>O68/2</f>
        <v/>
      </c>
      <c r="Q68" s="7">
        <f>INDEX(Escala!$B$2:$B$6,MATCH(O68,Escala!$A$2:$A$6,0))</f>
        <v/>
      </c>
      <c r="R68" s="7">
        <f>IF(O68=2,"Sí","No")</f>
        <v/>
      </c>
      <c r="S68" s="7">
        <f>IF(O68=0,"Sí","No")</f>
        <v/>
      </c>
      <c r="T68" s="7">
        <f>IF(AND(ISNUMBER(K68),O68&lt;2),IF(K68&lt;INDEX('Por sistema'!$D$5:$D$9,MATCH(B68,'Por sistema'!$A$5:$A$9,0)),"Sí","No"),"No")</f>
        <v/>
      </c>
    </row>
    <row r="69">
      <c r="A69" s="7" t="inlineStr">
        <is>
          <t>sgc-2025-4</t>
        </is>
      </c>
      <c r="B69" s="7" t="inlineStr">
        <is>
          <t>SGC</t>
        </is>
      </c>
      <c r="C69" s="7" t="inlineStr">
        <is>
          <t>Sistema de Gestión de Calidad</t>
        </is>
      </c>
      <c r="D69" s="7" t="inlineStr">
        <is>
          <t>2025</t>
        </is>
      </c>
      <c r="E69" s="7" t="n">
        <v>4</v>
      </c>
      <c r="F69" s="13" t="inlineStr">
        <is>
          <t>Implementar el Acuerdo CESU 01 de 2025 en Autoevaluación y Acreditación bajo el modelo institucional.</t>
        </is>
      </c>
      <c r="G69" s="13" t="inlineStr">
        <is>
          <t>Dirección de Autoevaluación y Acreditación</t>
        </is>
      </c>
      <c r="H69" s="13" t="inlineStr">
        <is>
          <t>Autoevaluación y Acreditación</t>
        </is>
      </c>
      <c r="I69" s="13" t="inlineStr">
        <is>
          <t>Actualización del Aplicativo de Aseguramiento de la Alta Calidad. Documentación institucional actualizada en el marco del Acuerdo CESU 01 de 2025. Acta de la comisión de Acreditación con el reporte de los procesos de Autoevaluación y Acreditación.</t>
        </is>
      </c>
      <c r="J69" s="13" t="inlineStr">
        <is>
          <t>46371</t>
        </is>
      </c>
      <c r="K69" s="8" t="n">
        <v>46371</v>
      </c>
      <c r="L69" s="7">
        <f>COUNTIF(Seguimientos!$A$2:$A$1013,A69)</f>
        <v/>
      </c>
      <c r="M69" s="7">
        <f>SUMPRODUCT(MAX((Seguimientos!$A$2:$A$1013=A69)*(Seguimientos!$H$2:$H$1013&lt;&gt;"")*Seguimientos!$B$2:$B$1013))</f>
        <v/>
      </c>
      <c r="N69" s="8">
        <f>IF(M69=0,"",INDEX(Seguimientos!$F$2:$F$1013,MATCH(A69&amp;"|"&amp;M69,Seguimientos!$K$2:$K$1013,0)))</f>
        <v/>
      </c>
      <c r="O69" s="14">
        <f>IF(M69=0,0,INDEX(Seguimientos!$H$2:$H$1013,MATCH(A69&amp;"|"&amp;M69,Seguimientos!$K$2:$K$1013,0)))</f>
        <v/>
      </c>
      <c r="P69" s="9">
        <f>O69/2</f>
        <v/>
      </c>
      <c r="Q69" s="7">
        <f>INDEX(Escala!$B$2:$B$6,MATCH(O69,Escala!$A$2:$A$6,0))</f>
        <v/>
      </c>
      <c r="R69" s="7">
        <f>IF(O69=2,"Sí","No")</f>
        <v/>
      </c>
      <c r="S69" s="7">
        <f>IF(O69=0,"Sí","No")</f>
        <v/>
      </c>
      <c r="T69" s="7">
        <f>IF(AND(ISNUMBER(K69),O69&lt;2),IF(K69&lt;INDEX('Por sistema'!$D$5:$D$9,MATCH(B69,'Por sistema'!$A$5:$A$9,0)),"Sí","No"),"No")</f>
        <v/>
      </c>
    </row>
    <row r="70">
      <c r="A70" s="7" t="inlineStr">
        <is>
          <t>sgc-2025-5</t>
        </is>
      </c>
      <c r="B70" s="7" t="inlineStr">
        <is>
          <t>SGC</t>
        </is>
      </c>
      <c r="C70" s="7" t="inlineStr">
        <is>
          <t>Sistema de Gestión de Calidad</t>
        </is>
      </c>
      <c r="D70" s="7" t="inlineStr">
        <is>
          <t>2025</t>
        </is>
      </c>
      <c r="E70" s="7" t="n">
        <v>5</v>
      </c>
      <c r="F70" s="13" t="inlineStr">
        <is>
          <t>Reforzar las campañas educativas dirigidos a la comunidad universitaria sobre derechos ciudadanos con el fin de incrementar el uso responsable y consciente de los mecanismos formales como denuncias y peticiones.</t>
        </is>
      </c>
      <c r="G70" s="13" t="inlineStr">
        <is>
          <t>Atención al Ciudadano</t>
        </is>
      </c>
      <c r="H70" s="13" t="inlineStr">
        <is>
          <t>Atención al Ciudadano</t>
        </is>
      </c>
      <c r="I70" s="13" t="inlineStr">
        <is>
          <t>Requerimeinto a la Oficina de Comunicaciones Campaña de socialización conocimiento para denuncias y peticiones Correo masivo con la información de la acampaña comunidad administrativa y academica</t>
        </is>
      </c>
      <c r="J70" s="13" t="inlineStr">
        <is>
          <t>30/06/2026</t>
        </is>
      </c>
      <c r="K70" s="8" t="n">
        <v>46203</v>
      </c>
      <c r="L70" s="7">
        <f>COUNTIF(Seguimientos!$A$2:$A$1013,A70)</f>
        <v/>
      </c>
      <c r="M70" s="7">
        <f>SUMPRODUCT(MAX((Seguimientos!$A$2:$A$1013=A70)*(Seguimientos!$H$2:$H$1013&lt;&gt;"")*Seguimientos!$B$2:$B$1013))</f>
        <v/>
      </c>
      <c r="N70" s="8">
        <f>IF(M70=0,"",INDEX(Seguimientos!$F$2:$F$1013,MATCH(A70&amp;"|"&amp;M70,Seguimientos!$K$2:$K$1013,0)))</f>
        <v/>
      </c>
      <c r="O70" s="14">
        <f>IF(M70=0,0,INDEX(Seguimientos!$H$2:$H$1013,MATCH(A70&amp;"|"&amp;M70,Seguimientos!$K$2:$K$1013,0)))</f>
        <v/>
      </c>
      <c r="P70" s="9">
        <f>O70/2</f>
        <v/>
      </c>
      <c r="Q70" s="7">
        <f>INDEX(Escala!$B$2:$B$6,MATCH(O70,Escala!$A$2:$A$6,0))</f>
        <v/>
      </c>
      <c r="R70" s="7">
        <f>IF(O70=2,"Sí","No")</f>
        <v/>
      </c>
      <c r="S70" s="7">
        <f>IF(O70=0,"Sí","No")</f>
        <v/>
      </c>
      <c r="T70" s="7">
        <f>IF(AND(ISNUMBER(K70),O70&lt;2),IF(K70&lt;INDEX('Por sistema'!$D$5:$D$9,MATCH(B70,'Por sistema'!$A$5:$A$9,0)),"Sí","No"),"No")</f>
        <v/>
      </c>
    </row>
    <row r="71">
      <c r="A71" s="7" t="inlineStr">
        <is>
          <t>sgc-2025-6</t>
        </is>
      </c>
      <c r="B71" s="7" t="inlineStr">
        <is>
          <t>SGC</t>
        </is>
      </c>
      <c r="C71" s="7" t="inlineStr">
        <is>
          <t>Sistema de Gestión de Calidad</t>
        </is>
      </c>
      <c r="D71" s="7" t="inlineStr">
        <is>
          <t>2025</t>
        </is>
      </c>
      <c r="E71" s="7" t="n">
        <v>6</v>
      </c>
      <c r="F71" s="13" t="inlineStr">
        <is>
          <t>Resignificar la Resolución No. 096 de 2021 con el fin de actualizar los lineamientos (Política) y los objetivos del Sistema de Gestión de la Calidad, alineado a la integración de los sistemas de gestión; asimismo, de acuerdo con el Plan Rectoral y Plan de Desarrollo.</t>
        </is>
      </c>
      <c r="G71" s="13" t="inlineStr">
        <is>
          <t>Sistemas Integrados de Gestión DIrección Planeación Institucional</t>
        </is>
      </c>
      <c r="H71" s="13" t="inlineStr">
        <is>
          <t>Planeación Institucional</t>
        </is>
      </c>
      <c r="I71" s="13" t="inlineStr">
        <is>
          <t>Resolución No. 096 de 2021 Actualizada</t>
        </is>
      </c>
      <c r="J71" s="13" t="inlineStr">
        <is>
          <t>46371</t>
        </is>
      </c>
      <c r="K71" s="8" t="n">
        <v>46371</v>
      </c>
      <c r="L71" s="7">
        <f>COUNTIF(Seguimientos!$A$2:$A$1013,A71)</f>
        <v/>
      </c>
      <c r="M71" s="7">
        <f>SUMPRODUCT(MAX((Seguimientos!$A$2:$A$1013=A71)*(Seguimientos!$H$2:$H$1013&lt;&gt;"")*Seguimientos!$B$2:$B$1013))</f>
        <v/>
      </c>
      <c r="N71" s="8">
        <f>IF(M71=0,"",INDEX(Seguimientos!$F$2:$F$1013,MATCH(A71&amp;"|"&amp;M71,Seguimientos!$K$2:$K$1013,0)))</f>
        <v/>
      </c>
      <c r="O71" s="14">
        <f>IF(M71=0,0,INDEX(Seguimientos!$H$2:$H$1013,MATCH(A71&amp;"|"&amp;M71,Seguimientos!$K$2:$K$1013,0)))</f>
        <v/>
      </c>
      <c r="P71" s="9">
        <f>O71/2</f>
        <v/>
      </c>
      <c r="Q71" s="7">
        <f>INDEX(Escala!$B$2:$B$6,MATCH(O71,Escala!$A$2:$A$6,0))</f>
        <v/>
      </c>
      <c r="R71" s="7">
        <f>IF(O71=2,"Sí","No")</f>
        <v/>
      </c>
      <c r="S71" s="7">
        <f>IF(O71=0,"Sí","No")</f>
        <v/>
      </c>
      <c r="T71" s="7">
        <f>IF(AND(ISNUMBER(K71),O71&lt;2),IF(K71&lt;INDEX('Por sistema'!$D$5:$D$9,MATCH(B71,'Por sistema'!$A$5:$A$9,0)),"Sí","No"),"No")</f>
        <v/>
      </c>
    </row>
    <row r="72">
      <c r="A72" s="7" t="inlineStr">
        <is>
          <t>sgc-2025-7</t>
        </is>
      </c>
      <c r="B72" s="7" t="inlineStr">
        <is>
          <t>SGC</t>
        </is>
      </c>
      <c r="C72" s="7" t="inlineStr">
        <is>
          <t>Sistema de Gestión de Calidad</t>
        </is>
      </c>
      <c r="D72" s="7" t="inlineStr">
        <is>
          <t>2025</t>
        </is>
      </c>
      <c r="E72" s="7" t="n">
        <v>7</v>
      </c>
      <c r="F72" s="13" t="inlineStr">
        <is>
          <t>Realizar el cierre y resignificar los objetivos establecidos en la Resolución 096 de 2021, con corte a diciembre 2025 y llevar el análisis de los resultados al comité SAC para la toma de decisiones que sea pertinente.</t>
        </is>
      </c>
      <c r="G72" s="13" t="inlineStr">
        <is>
          <t>Oficina de Calidad DIrección Planeación Institucional</t>
        </is>
      </c>
      <c r="H72" s="13" t="inlineStr">
        <is>
          <t>Planeación Institucional, Calidad</t>
        </is>
      </c>
      <c r="I72" s="13" t="inlineStr">
        <is>
          <t>Informe de cumplimiento de objetivos SGC 2025</t>
        </is>
      </c>
      <c r="J72" s="13" t="inlineStr">
        <is>
          <t>46371</t>
        </is>
      </c>
      <c r="K72" s="8" t="n">
        <v>46371</v>
      </c>
      <c r="L72" s="7">
        <f>COUNTIF(Seguimientos!$A$2:$A$1013,A72)</f>
        <v/>
      </c>
      <c r="M72" s="7">
        <f>SUMPRODUCT(MAX((Seguimientos!$A$2:$A$1013=A72)*(Seguimientos!$H$2:$H$1013&lt;&gt;"")*Seguimientos!$B$2:$B$1013))</f>
        <v/>
      </c>
      <c r="N72" s="8">
        <f>IF(M72=0,"",INDEX(Seguimientos!$F$2:$F$1013,MATCH(A72&amp;"|"&amp;M72,Seguimientos!$K$2:$K$1013,0)))</f>
        <v/>
      </c>
      <c r="O72" s="14">
        <f>IF(M72=0,0,INDEX(Seguimientos!$H$2:$H$1013,MATCH(A72&amp;"|"&amp;M72,Seguimientos!$K$2:$K$1013,0)))</f>
        <v/>
      </c>
      <c r="P72" s="9">
        <f>O72/2</f>
        <v/>
      </c>
      <c r="Q72" s="7">
        <f>INDEX(Escala!$B$2:$B$6,MATCH(O72,Escala!$A$2:$A$6,0))</f>
        <v/>
      </c>
      <c r="R72" s="7">
        <f>IF(O72=2,"Sí","No")</f>
        <v/>
      </c>
      <c r="S72" s="7">
        <f>IF(O72=0,"Sí","No")</f>
        <v/>
      </c>
      <c r="T72" s="7">
        <f>IF(AND(ISNUMBER(K72),O72&lt;2),IF(K72&lt;INDEX('Por sistema'!$D$5:$D$9,MATCH(B72,'Por sistema'!$A$5:$A$9,0)),"Sí","No"),"No")</f>
        <v/>
      </c>
    </row>
    <row r="73">
      <c r="A73" s="7" t="inlineStr">
        <is>
          <t>sgc-2025-8</t>
        </is>
      </c>
      <c r="B73" s="7" t="inlineStr">
        <is>
          <t>SGC</t>
        </is>
      </c>
      <c r="C73" s="7" t="inlineStr">
        <is>
          <t>Sistema de Gestión de Calidad</t>
        </is>
      </c>
      <c r="D73" s="7" t="inlineStr">
        <is>
          <t>2025</t>
        </is>
      </c>
      <c r="E73" s="7" t="n">
        <v>8</v>
      </c>
      <c r="F73" s="13" t="inlineStr">
        <is>
          <t>Verificar y consolidar la batería de indicadores para identificar cuáles contribuyen efectivamente al cumplimiento de los objetivos de calidad, según su naturaleza,</t>
        </is>
      </c>
      <c r="G73" s="13" t="inlineStr">
        <is>
          <t>Oficina de Calidad Procesos identificados en el Modelo de Operación Digital</t>
        </is>
      </c>
      <c r="H73" s="13" t="inlineStr">
        <is>
          <t>Calidad</t>
        </is>
      </c>
      <c r="I73" s="13" t="inlineStr">
        <is>
          <t>Bateria Indicadores 2026 actualizado</t>
        </is>
      </c>
      <c r="J73" s="13" t="inlineStr">
        <is>
          <t>46112</t>
        </is>
      </c>
      <c r="K73" s="8" t="n">
        <v>46112</v>
      </c>
      <c r="L73" s="7">
        <f>COUNTIF(Seguimientos!$A$2:$A$1013,A73)</f>
        <v/>
      </c>
      <c r="M73" s="7">
        <f>SUMPRODUCT(MAX((Seguimientos!$A$2:$A$1013=A73)*(Seguimientos!$H$2:$H$1013&lt;&gt;"")*Seguimientos!$B$2:$B$1013))</f>
        <v/>
      </c>
      <c r="N73" s="8">
        <f>IF(M73=0,"",INDEX(Seguimientos!$F$2:$F$1013,MATCH(A73&amp;"|"&amp;M73,Seguimientos!$K$2:$K$1013,0)))</f>
        <v/>
      </c>
      <c r="O73" s="14">
        <f>IF(M73=0,0,INDEX(Seguimientos!$H$2:$H$1013,MATCH(A73&amp;"|"&amp;M73,Seguimientos!$K$2:$K$1013,0)))</f>
        <v/>
      </c>
      <c r="P73" s="9">
        <f>O73/2</f>
        <v/>
      </c>
      <c r="Q73" s="7">
        <f>INDEX(Escala!$B$2:$B$6,MATCH(O73,Escala!$A$2:$A$6,0))</f>
        <v/>
      </c>
      <c r="R73" s="7">
        <f>IF(O73=2,"Sí","No")</f>
        <v/>
      </c>
      <c r="S73" s="7">
        <f>IF(O73=0,"Sí","No")</f>
        <v/>
      </c>
      <c r="T73" s="7">
        <f>IF(AND(ISNUMBER(K73),O73&lt;2),IF(K73&lt;INDEX('Por sistema'!$D$5:$D$9,MATCH(B73,'Por sistema'!$A$5:$A$9,0)),"Sí","No"),"No")</f>
        <v/>
      </c>
    </row>
    <row r="74">
      <c r="A74" s="7" t="inlineStr">
        <is>
          <t>sgc-2025-9</t>
        </is>
      </c>
      <c r="B74" s="7" t="inlineStr">
        <is>
          <t>SGC</t>
        </is>
      </c>
      <c r="C74" s="7" t="inlineStr">
        <is>
          <t>Sistema de Gestión de Calidad</t>
        </is>
      </c>
      <c r="D74" s="7" t="inlineStr">
        <is>
          <t>2025</t>
        </is>
      </c>
      <c r="E74" s="7" t="n">
        <v>9</v>
      </c>
      <c r="F74" s="13" t="inlineStr">
        <is>
          <t>Solicitar la contratación del personal encargado del Repositorio Institucional de cada Unidad Regional en los teiempos oportunos para el cumplimiento de publicación de los documentos en el aplicativo Institucional</t>
        </is>
      </c>
      <c r="G74" s="13" t="inlineStr">
        <is>
          <t>Unidad Apoyo Academico</t>
        </is>
      </c>
      <c r="H74" s="13" t="inlineStr">
        <is>
          <t>Apoyo y Desarrollo Académico</t>
        </is>
      </c>
      <c r="I74" s="13" t="inlineStr">
        <is>
          <t>Lista de personal priorizado para iniciar labores en cada unidad regional Oficio de solicitud de contratación</t>
        </is>
      </c>
      <c r="J74" s="13" t="inlineStr">
        <is>
          <t>46203</t>
        </is>
      </c>
      <c r="K74" s="8" t="n">
        <v>46203</v>
      </c>
      <c r="L74" s="7">
        <f>COUNTIF(Seguimientos!$A$2:$A$1013,A74)</f>
        <v/>
      </c>
      <c r="M74" s="7">
        <f>SUMPRODUCT(MAX((Seguimientos!$A$2:$A$1013=A74)*(Seguimientos!$H$2:$H$1013&lt;&gt;"")*Seguimientos!$B$2:$B$1013))</f>
        <v/>
      </c>
      <c r="N74" s="8">
        <f>IF(M74=0,"",INDEX(Seguimientos!$F$2:$F$1013,MATCH(A74&amp;"|"&amp;M74,Seguimientos!$K$2:$K$1013,0)))</f>
        <v/>
      </c>
      <c r="O74" s="14">
        <f>IF(M74=0,0,INDEX(Seguimientos!$H$2:$H$1013,MATCH(A74&amp;"|"&amp;M74,Seguimientos!$K$2:$K$1013,0)))</f>
        <v/>
      </c>
      <c r="P74" s="9">
        <f>O74/2</f>
        <v/>
      </c>
      <c r="Q74" s="7">
        <f>INDEX(Escala!$B$2:$B$6,MATCH(O74,Escala!$A$2:$A$6,0))</f>
        <v/>
      </c>
      <c r="R74" s="7">
        <f>IF(O74=2,"Sí","No")</f>
        <v/>
      </c>
      <c r="S74" s="7">
        <f>IF(O74=0,"Sí","No")</f>
        <v/>
      </c>
      <c r="T74" s="7">
        <f>IF(AND(ISNUMBER(K74),O74&lt;2),IF(K74&lt;INDEX('Por sistema'!$D$5:$D$9,MATCH(B74,'Por sistema'!$A$5:$A$9,0)),"Sí","No"),"No")</f>
        <v/>
      </c>
    </row>
    <row r="75">
      <c r="A75" s="7" t="inlineStr">
        <is>
          <t>sgc-2025-10</t>
        </is>
      </c>
      <c r="B75" s="7" t="inlineStr">
        <is>
          <t>SGC</t>
        </is>
      </c>
      <c r="C75" s="7" t="inlineStr">
        <is>
          <t>Sistema de Gestión de Calidad</t>
        </is>
      </c>
      <c r="D75" s="7" t="inlineStr">
        <is>
          <t>2025</t>
        </is>
      </c>
      <c r="E75" s="7" t="n">
        <v>10</v>
      </c>
      <c r="F75" s="13" t="inlineStr">
        <is>
          <t>Verificar la proyección academica con el fin de dar cobertura en los espacios academicos en jurnadas diurnas y nocturnas, donde los directores administrativos junto con el Jefe de Apoyo Academico deberan realizar el estudio de este necesidad.</t>
        </is>
      </c>
      <c r="G75" s="13" t="inlineStr">
        <is>
          <t>Unidad Apoyo Academico</t>
        </is>
      </c>
      <c r="H75" s="13" t="inlineStr">
        <is>
          <t>Apoyo y Desarrollo Académico</t>
        </is>
      </c>
      <c r="I75" s="13" t="inlineStr">
        <is>
          <t>Acta de mesa de trabajo con los cada uno de los Directores Administrativos Aseguramiento de la contratación del personal adicional que se requiera</t>
        </is>
      </c>
      <c r="J75" s="13" t="inlineStr">
        <is>
          <t>30/06/2026</t>
        </is>
      </c>
      <c r="K75" s="8" t="n">
        <v>46203</v>
      </c>
      <c r="L75" s="7">
        <f>COUNTIF(Seguimientos!$A$2:$A$1013,A75)</f>
        <v/>
      </c>
      <c r="M75" s="7">
        <f>SUMPRODUCT(MAX((Seguimientos!$A$2:$A$1013=A75)*(Seguimientos!$H$2:$H$1013&lt;&gt;"")*Seguimientos!$B$2:$B$1013))</f>
        <v/>
      </c>
      <c r="N75" s="8">
        <f>IF(M75=0,"",INDEX(Seguimientos!$F$2:$F$1013,MATCH(A75&amp;"|"&amp;M75,Seguimientos!$K$2:$K$1013,0)))</f>
        <v/>
      </c>
      <c r="O75" s="14">
        <f>IF(M75=0,0,INDEX(Seguimientos!$H$2:$H$1013,MATCH(A75&amp;"|"&amp;M75,Seguimientos!$K$2:$K$1013,0)))</f>
        <v/>
      </c>
      <c r="P75" s="9">
        <f>O75/2</f>
        <v/>
      </c>
      <c r="Q75" s="7">
        <f>INDEX(Escala!$B$2:$B$6,MATCH(O75,Escala!$A$2:$A$6,0))</f>
        <v/>
      </c>
      <c r="R75" s="7">
        <f>IF(O75=2,"Sí","No")</f>
        <v/>
      </c>
      <c r="S75" s="7">
        <f>IF(O75=0,"Sí","No")</f>
        <v/>
      </c>
      <c r="T75" s="7">
        <f>IF(AND(ISNUMBER(K75),O75&lt;2),IF(K75&lt;INDEX('Por sistema'!$D$5:$D$9,MATCH(B75,'Por sistema'!$A$5:$A$9,0)),"Sí","No"),"No")</f>
        <v/>
      </c>
    </row>
    <row r="76">
      <c r="A76" s="7" t="inlineStr">
        <is>
          <t>sgc-2025-11</t>
        </is>
      </c>
      <c r="B76" s="7" t="inlineStr">
        <is>
          <t>SGC</t>
        </is>
      </c>
      <c r="C76" s="7" t="inlineStr">
        <is>
          <t>Sistema de Gestión de Calidad</t>
        </is>
      </c>
      <c r="D76" s="7" t="inlineStr">
        <is>
          <t>2025</t>
        </is>
      </c>
      <c r="E76" s="7" t="n">
        <v>11</v>
      </c>
      <c r="F76" s="13" t="inlineStr">
        <is>
          <t>Trasladar el indicador de Calibraciones "calibración de equipos y elementos educativos de Investigación" a la Dirección de Investigación para su reporte, control y medición, en razón que para el 2026 los recursos se encuentran asignados a la Dirección de Investigación.</t>
        </is>
      </c>
      <c r="G76" s="13" t="inlineStr">
        <is>
          <t>Unidad Apoyo Academico Dirección Investigación Universitaria</t>
        </is>
      </c>
      <c r="H76" s="13" t="inlineStr">
        <is>
          <t>Apoyo y Desarrollo Académico, Investigación Universitaria</t>
        </is>
      </c>
      <c r="I76" s="13" t="inlineStr">
        <is>
          <t>Acta de Comité Extraordinario SAC. - Traslado Indicador de Calibraciones "calibración de equipos y elementos educativos de Investigación Correo de notificación de traslado por apoyo tecnica del SAC Oficio a la Oficina de Calidad notificando el traslado del Indicador Ficha del indicador ajustado en la Dirección Investigación Universitaria</t>
        </is>
      </c>
      <c r="J76" s="13" t="inlineStr">
        <is>
          <t>30/06/2026</t>
        </is>
      </c>
      <c r="K76" s="8" t="n">
        <v>46203</v>
      </c>
      <c r="L76" s="7">
        <f>COUNTIF(Seguimientos!$A$2:$A$1013,A76)</f>
        <v/>
      </c>
      <c r="M76" s="7">
        <f>SUMPRODUCT(MAX((Seguimientos!$A$2:$A$1013=A76)*(Seguimientos!$H$2:$H$1013&lt;&gt;"")*Seguimientos!$B$2:$B$1013))</f>
        <v/>
      </c>
      <c r="N76" s="8">
        <f>IF(M76=0,"",INDEX(Seguimientos!$F$2:$F$1013,MATCH(A76&amp;"|"&amp;M76,Seguimientos!$K$2:$K$1013,0)))</f>
        <v/>
      </c>
      <c r="O76" s="14">
        <f>IF(M76=0,0,INDEX(Seguimientos!$H$2:$H$1013,MATCH(A76&amp;"|"&amp;M76,Seguimientos!$K$2:$K$1013,0)))</f>
        <v/>
      </c>
      <c r="P76" s="9">
        <f>O76/2</f>
        <v/>
      </c>
      <c r="Q76" s="7">
        <f>INDEX(Escala!$B$2:$B$6,MATCH(O76,Escala!$A$2:$A$6,0))</f>
        <v/>
      </c>
      <c r="R76" s="7">
        <f>IF(O76=2,"Sí","No")</f>
        <v/>
      </c>
      <c r="S76" s="7">
        <f>IF(O76=0,"Sí","No")</f>
        <v/>
      </c>
      <c r="T76" s="7">
        <f>IF(AND(ISNUMBER(K76),O76&lt;2),IF(K76&lt;INDEX('Por sistema'!$D$5:$D$9,MATCH(B76,'Por sistema'!$A$5:$A$9,0)),"Sí","No"),"No")</f>
        <v/>
      </c>
    </row>
    <row r="77">
      <c r="A77" s="7" t="inlineStr">
        <is>
          <t>sgc-2025-12</t>
        </is>
      </c>
      <c r="B77" s="7" t="inlineStr">
        <is>
          <t>SGC</t>
        </is>
      </c>
      <c r="C77" s="7" t="inlineStr">
        <is>
          <t>Sistema de Gestión de Calidad</t>
        </is>
      </c>
      <c r="D77" s="7" t="inlineStr">
        <is>
          <t>2025</t>
        </is>
      </c>
      <c r="E77" s="7" t="n">
        <v>12</v>
      </c>
      <c r="F77" s="13" t="inlineStr">
        <is>
          <t>Elaborar un tablero de control que permita comparar los datos de cada sistema de Gestión en las diferencias vigencias.</t>
        </is>
      </c>
      <c r="G77" s="13" t="inlineStr">
        <is>
          <t>Dirección Sistemas y Tecnología Grupo Gobierno de Datos</t>
        </is>
      </c>
      <c r="H77" s="13" t="inlineStr">
        <is>
          <t>Sistemas y Tecnología, Gobierno de Datos</t>
        </is>
      </c>
      <c r="I77" s="13" t="inlineStr">
        <is>
          <t>Tablero de Control</t>
        </is>
      </c>
      <c r="J77" s="13" t="inlineStr">
        <is>
          <t>46203</t>
        </is>
      </c>
      <c r="K77" s="8" t="n">
        <v>46203</v>
      </c>
      <c r="L77" s="7">
        <f>COUNTIF(Seguimientos!$A$2:$A$1013,A77)</f>
        <v/>
      </c>
      <c r="M77" s="7">
        <f>SUMPRODUCT(MAX((Seguimientos!$A$2:$A$1013=A77)*(Seguimientos!$H$2:$H$1013&lt;&gt;"")*Seguimientos!$B$2:$B$1013))</f>
        <v/>
      </c>
      <c r="N77" s="8">
        <f>IF(M77=0,"",INDEX(Seguimientos!$F$2:$F$1013,MATCH(A77&amp;"|"&amp;M77,Seguimientos!$K$2:$K$1013,0)))</f>
        <v/>
      </c>
      <c r="O77" s="14">
        <f>IF(M77=0,0,INDEX(Seguimientos!$H$2:$H$1013,MATCH(A77&amp;"|"&amp;M77,Seguimientos!$K$2:$K$1013,0)))</f>
        <v/>
      </c>
      <c r="P77" s="9">
        <f>O77/2</f>
        <v/>
      </c>
      <c r="Q77" s="7">
        <f>INDEX(Escala!$B$2:$B$6,MATCH(O77,Escala!$A$2:$A$6,0))</f>
        <v/>
      </c>
      <c r="R77" s="7">
        <f>IF(O77=2,"Sí","No")</f>
        <v/>
      </c>
      <c r="S77" s="7">
        <f>IF(O77=0,"Sí","No")</f>
        <v/>
      </c>
      <c r="T77" s="7">
        <f>IF(AND(ISNUMBER(K77),O77&lt;2),IF(K77&lt;INDEX('Por sistema'!$D$5:$D$9,MATCH(B77,'Por sistema'!$A$5:$A$9,0)),"Sí","No"),"No")</f>
        <v/>
      </c>
    </row>
    <row r="78">
      <c r="A78" s="7" t="inlineStr">
        <is>
          <t>sgc-2025-13</t>
        </is>
      </c>
      <c r="B78" s="7" t="inlineStr">
        <is>
          <t>SGC</t>
        </is>
      </c>
      <c r="C78" s="7" t="inlineStr">
        <is>
          <t>Sistema de Gestión de Calidad</t>
        </is>
      </c>
      <c r="D78" s="7" t="inlineStr">
        <is>
          <t>2025</t>
        </is>
      </c>
      <c r="E78" s="7" t="n">
        <v>13</v>
      </c>
      <c r="F78" s="13" t="inlineStr">
        <is>
          <t>Actualizar la Resolución No. 088 "POR LA CUAL SE ESTABLECE EL SISTEMA DE ASEGURAMIENTO DE LA CALIDAD DE LA UNIVERSIDAD DE CUNDINAMARCA¨</t>
        </is>
      </c>
      <c r="G78" s="13" t="inlineStr">
        <is>
          <t>Oficina de Calidad Oficina de SST Oficina de SGSI Oficina Ambiental Sistema de Gestión Antisoborno</t>
        </is>
      </c>
      <c r="H78" s="13" t="inlineStr">
        <is>
          <t>Calidad, Gestión Ambiental, Seguridad de la Información, Seguridad y Salud en el Trabajo, Antisoborno</t>
        </is>
      </c>
      <c r="I78" s="13" t="inlineStr">
        <is>
          <t>Actualización Resolución No. 088 "POR LA CUAL SE ESTABLECE EL SISTEMA DE ASEGURAMIENTO DE LA CALIDAD DE LA UNIVERSIDAD DE CUNDINAMARCA¨</t>
        </is>
      </c>
      <c r="J78" s="13" t="inlineStr">
        <is>
          <t>46371</t>
        </is>
      </c>
      <c r="K78" s="8" t="n">
        <v>46371</v>
      </c>
      <c r="L78" s="7">
        <f>COUNTIF(Seguimientos!$A$2:$A$1013,A78)</f>
        <v/>
      </c>
      <c r="M78" s="7">
        <f>SUMPRODUCT(MAX((Seguimientos!$A$2:$A$1013=A78)*(Seguimientos!$H$2:$H$1013&lt;&gt;"")*Seguimientos!$B$2:$B$1013))</f>
        <v/>
      </c>
      <c r="N78" s="8">
        <f>IF(M78=0,"",INDEX(Seguimientos!$F$2:$F$1013,MATCH(A78&amp;"|"&amp;M78,Seguimientos!$K$2:$K$1013,0)))</f>
        <v/>
      </c>
      <c r="O78" s="14">
        <f>IF(M78=0,0,INDEX(Seguimientos!$H$2:$H$1013,MATCH(A78&amp;"|"&amp;M78,Seguimientos!$K$2:$K$1013,0)))</f>
        <v/>
      </c>
      <c r="P78" s="9">
        <f>O78/2</f>
        <v/>
      </c>
      <c r="Q78" s="7">
        <f>INDEX(Escala!$B$2:$B$6,MATCH(O78,Escala!$A$2:$A$6,0))</f>
        <v/>
      </c>
      <c r="R78" s="7">
        <f>IF(O78=2,"Sí","No")</f>
        <v/>
      </c>
      <c r="S78" s="7">
        <f>IF(O78=0,"Sí","No")</f>
        <v/>
      </c>
      <c r="T78" s="7">
        <f>IF(AND(ISNUMBER(K78),O78&lt;2),IF(K78&lt;INDEX('Por sistema'!$D$5:$D$9,MATCH(B78,'Por sistema'!$A$5:$A$9,0)),"Sí","No"),"No")</f>
        <v/>
      </c>
    </row>
    <row r="79">
      <c r="A79" s="7" t="inlineStr">
        <is>
          <t>sga-2022-1</t>
        </is>
      </c>
      <c r="B79" s="7" t="inlineStr">
        <is>
          <t>SGA</t>
        </is>
      </c>
      <c r="C79" s="7" t="inlineStr">
        <is>
          <t>Sistema de Gestión Ambiental</t>
        </is>
      </c>
      <c r="D79" s="7" t="inlineStr">
        <is>
          <t>2022</t>
        </is>
      </c>
      <c r="E79" s="7" t="n">
        <v>1</v>
      </c>
      <c r="F79" s="13" t="inlineStr">
        <is>
          <t>Priorizar inversiones asociadas con Planes de Mejoramiento de auditorías internas o de certificación SST y SGA para vigencia 2023.</t>
        </is>
      </c>
      <c r="G79" s="13" t="inlineStr">
        <is>
          <t>Sistema de Gestión Ambiental - Directora de Planeación Institucional</t>
        </is>
      </c>
      <c r="H79" s="13" t="inlineStr">
        <is>
          <t>Planeación Institucional, Gestión Ambiental</t>
        </is>
      </c>
      <c r="I79" s="13" t="inlineStr">
        <is>
          <t>Solicitud priorización de recursos para el cumplimiento de Planes de Mejoramiento que requieren inversión.</t>
        </is>
      </c>
      <c r="J79" s="13" t="inlineStr">
        <is>
          <t>15-12-2023</t>
        </is>
      </c>
      <c r="K79" s="8" t="n">
        <v>45275</v>
      </c>
      <c r="L79" s="7">
        <f>COUNTIF(Seguimientos!$A$2:$A$1013,A79)</f>
        <v/>
      </c>
      <c r="M79" s="7">
        <f>SUMPRODUCT(MAX((Seguimientos!$A$2:$A$1013=A79)*(Seguimientos!$H$2:$H$1013&lt;&gt;"")*Seguimientos!$B$2:$B$1013))</f>
        <v/>
      </c>
      <c r="N79" s="8">
        <f>IF(M79=0,"",INDEX(Seguimientos!$F$2:$F$1013,MATCH(A79&amp;"|"&amp;M79,Seguimientos!$K$2:$K$1013,0)))</f>
        <v/>
      </c>
      <c r="O79" s="14">
        <f>IF(M79=0,0,INDEX(Seguimientos!$H$2:$H$1013,MATCH(A79&amp;"|"&amp;M79,Seguimientos!$K$2:$K$1013,0)))</f>
        <v/>
      </c>
      <c r="P79" s="9">
        <f>O79/2</f>
        <v/>
      </c>
      <c r="Q79" s="7">
        <f>INDEX(Escala!$B$2:$B$6,MATCH(O79,Escala!$A$2:$A$6,0))</f>
        <v/>
      </c>
      <c r="R79" s="7">
        <f>IF(O79=2,"Sí","No")</f>
        <v/>
      </c>
      <c r="S79" s="7">
        <f>IF(O79=0,"Sí","No")</f>
        <v/>
      </c>
      <c r="T79" s="7">
        <f>IF(AND(ISNUMBER(K79),O79&lt;2),IF(K79&lt;INDEX('Por sistema'!$D$5:$D$9,MATCH(B79,'Por sistema'!$A$5:$A$9,0)),"Sí","No"),"No")</f>
        <v/>
      </c>
    </row>
    <row r="80">
      <c r="A80" s="7" t="inlineStr">
        <is>
          <t>sga-2022-2</t>
        </is>
      </c>
      <c r="B80" s="7" t="inlineStr">
        <is>
          <t>SGA</t>
        </is>
      </c>
      <c r="C80" s="7" t="inlineStr">
        <is>
          <t>Sistema de Gestión Ambiental</t>
        </is>
      </c>
      <c r="D80" s="7" t="inlineStr">
        <is>
          <t>2022</t>
        </is>
      </c>
      <c r="E80" s="7" t="n">
        <v>2</v>
      </c>
      <c r="F80" s="13" t="inlineStr">
        <is>
          <t>Respecto a la conformación del equipo del SGA, evaluar la viabilidad de cambiar la modalidad de contratación de las gestoras ambientales de Ubaté y Fusagasugá, de OPS a término fijo, y en lo casos en los que no sea viable para el resto del equipo, asegurar la continuidad del contrato sin interrupción a mitad de año, con el fin de asegurar la continuidad del apoyo y disponibilidad en el cumplimiento de requisitos legales y otros ambientales. Evaluar la aprobación de contratación de un apoyo con un profesional más para la Sede de Fusagasugá, dado el alcance que se debe cubrir en las instalaciones que incluye el CAD y la Unidad Agroambiental La Esperanza, para lo cual ya se cuenta con recursos aprobados en el presupuesto SGA 2023.</t>
        </is>
      </c>
      <c r="G80" s="13" t="inlineStr">
        <is>
          <t>Sistema de Gestión Ambiental - Directora de Planeación Institucional</t>
        </is>
      </c>
      <c r="H80" s="13" t="inlineStr">
        <is>
          <t>Planeación Institucional, Gestión Ambiental</t>
        </is>
      </c>
      <c r="I80" s="13" t="inlineStr">
        <is>
          <t>2.1 Contratos de OPS de equipo de SGA por 11 meses para vigencia 2022. 2.2 Contrato de un segundo profesional como Gestor ambiental para la Sede de Fusagasugá. 2.3 Soportes de solicitud de evaluación de las Hojas de Vida de las profesionales del equipo.</t>
        </is>
      </c>
      <c r="J80" s="13" t="inlineStr">
        <is>
          <t>15-12-2023</t>
        </is>
      </c>
      <c r="K80" s="8" t="n">
        <v>45275</v>
      </c>
      <c r="L80" s="7">
        <f>COUNTIF(Seguimientos!$A$2:$A$1013,A80)</f>
        <v/>
      </c>
      <c r="M80" s="7">
        <f>SUMPRODUCT(MAX((Seguimientos!$A$2:$A$1013=A80)*(Seguimientos!$H$2:$H$1013&lt;&gt;"")*Seguimientos!$B$2:$B$1013))</f>
        <v/>
      </c>
      <c r="N80" s="8">
        <f>IF(M80=0,"",INDEX(Seguimientos!$F$2:$F$1013,MATCH(A80&amp;"|"&amp;M80,Seguimientos!$K$2:$K$1013,0)))</f>
        <v/>
      </c>
      <c r="O80" s="14">
        <f>IF(M80=0,0,INDEX(Seguimientos!$H$2:$H$1013,MATCH(A80&amp;"|"&amp;M80,Seguimientos!$K$2:$K$1013,0)))</f>
        <v/>
      </c>
      <c r="P80" s="9">
        <f>O80/2</f>
        <v/>
      </c>
      <c r="Q80" s="7">
        <f>INDEX(Escala!$B$2:$B$6,MATCH(O80,Escala!$A$2:$A$6,0))</f>
        <v/>
      </c>
      <c r="R80" s="7">
        <f>IF(O80=2,"Sí","No")</f>
        <v/>
      </c>
      <c r="S80" s="7">
        <f>IF(O80=0,"Sí","No")</f>
        <v/>
      </c>
      <c r="T80" s="7">
        <f>IF(AND(ISNUMBER(K80),O80&lt;2),IF(K80&lt;INDEX('Por sistema'!$D$5:$D$9,MATCH(B80,'Por sistema'!$A$5:$A$9,0)),"Sí","No"),"No")</f>
        <v/>
      </c>
    </row>
    <row r="81">
      <c r="A81" s="7" t="inlineStr">
        <is>
          <t>sga-2022-3</t>
        </is>
      </c>
      <c r="B81" s="7" t="inlineStr">
        <is>
          <t>SGA</t>
        </is>
      </c>
      <c r="C81" s="7" t="inlineStr">
        <is>
          <t>Sistema de Gestión Ambiental</t>
        </is>
      </c>
      <c r="D81" s="7" t="inlineStr">
        <is>
          <t>2022</t>
        </is>
      </c>
      <c r="E81" s="7" t="n">
        <v>3</v>
      </c>
      <c r="F81" s="13" t="inlineStr">
        <is>
          <t>Realizar auditoría de certificación SGA en la Seccional Ubaté y Extensión de Chía y realización de auditorías internas a nivel general en las diferentes unidades regionales, incluyendo a Soacha y Oficinas Bogotá.​</t>
        </is>
      </c>
      <c r="G81" s="13" t="inlineStr">
        <is>
          <t>Sistema de Gestión Ambiental - Directora de Planeación Institucional</t>
        </is>
      </c>
      <c r="H81" s="13" t="inlineStr">
        <is>
          <t>Planeación Institucional, Gestión Ambiental</t>
        </is>
      </c>
      <c r="I81" s="13" t="inlineStr">
        <is>
          <t>3.1 Contrato de auditoría interna combinada. 3.2 Contrato de Auditoría Icontec. 3.3 Informes de auditorías SGA.</t>
        </is>
      </c>
      <c r="J81" s="13" t="inlineStr">
        <is>
          <t>15-12-2023</t>
        </is>
      </c>
      <c r="K81" s="8" t="n">
        <v>45275</v>
      </c>
      <c r="L81" s="7">
        <f>COUNTIF(Seguimientos!$A$2:$A$1013,A81)</f>
        <v/>
      </c>
      <c r="M81" s="7">
        <f>SUMPRODUCT(MAX((Seguimientos!$A$2:$A$1013=A81)*(Seguimientos!$H$2:$H$1013&lt;&gt;"")*Seguimientos!$B$2:$B$1013))</f>
        <v/>
      </c>
      <c r="N81" s="8">
        <f>IF(M81=0,"",INDEX(Seguimientos!$F$2:$F$1013,MATCH(A81&amp;"|"&amp;M81,Seguimientos!$K$2:$K$1013,0)))</f>
        <v/>
      </c>
      <c r="O81" s="14">
        <f>IF(M81=0,0,INDEX(Seguimientos!$H$2:$H$1013,MATCH(A81&amp;"|"&amp;M81,Seguimientos!$K$2:$K$1013,0)))</f>
        <v/>
      </c>
      <c r="P81" s="9">
        <f>O81/2</f>
        <v/>
      </c>
      <c r="Q81" s="7">
        <f>INDEX(Escala!$B$2:$B$6,MATCH(O81,Escala!$A$2:$A$6,0))</f>
        <v/>
      </c>
      <c r="R81" s="7">
        <f>IF(O81=2,"Sí","No")</f>
        <v/>
      </c>
      <c r="S81" s="7">
        <f>IF(O81=0,"Sí","No")</f>
        <v/>
      </c>
      <c r="T81" s="7">
        <f>IF(AND(ISNUMBER(K81),O81&lt;2),IF(K81&lt;INDEX('Por sistema'!$D$5:$D$9,MATCH(B81,'Por sistema'!$A$5:$A$9,0)),"Sí","No"),"No")</f>
        <v/>
      </c>
    </row>
    <row r="82">
      <c r="A82" s="7" t="inlineStr">
        <is>
          <t>sga-2022-4</t>
        </is>
      </c>
      <c r="B82" s="7" t="inlineStr">
        <is>
          <t>SGA</t>
        </is>
      </c>
      <c r="C82" s="7" t="inlineStr">
        <is>
          <t>Sistema de Gestión Ambiental</t>
        </is>
      </c>
      <c r="D82" s="7" t="inlineStr">
        <is>
          <t>2022</t>
        </is>
      </c>
      <c r="E82" s="7" t="n">
        <v>4</v>
      </c>
      <c r="F82" s="13" t="inlineStr">
        <is>
          <t>Evaluar la viabilidad en algunas de las Sedes de cambiar la modalidad de contratación de los gestores de SGA y de SST de OPS a término fijo, con el fin de asegurar la continuidad del aseguramiento y disponibilidad en el cumplimiento de requisitos legales y otros de SGA y SST.​</t>
        </is>
      </c>
      <c r="G82" s="13" t="inlineStr">
        <is>
          <t>Sistema de Gestión Ambiental - Directora de Planeación Institucional</t>
        </is>
      </c>
      <c r="H82" s="13" t="inlineStr">
        <is>
          <t>Planeación Institucional, Gestión Ambiental</t>
        </is>
      </c>
      <c r="I82" s="13" t="inlineStr">
        <is>
          <t>4.1 Soportes de solicitud de evaluación de las Hojas de Vida de las profesionales del equipo.</t>
        </is>
      </c>
      <c r="J82" s="13" t="inlineStr">
        <is>
          <t>15-12-2023</t>
        </is>
      </c>
      <c r="K82" s="8" t="n">
        <v>45275</v>
      </c>
      <c r="L82" s="7">
        <f>COUNTIF(Seguimientos!$A$2:$A$1013,A82)</f>
        <v/>
      </c>
      <c r="M82" s="7">
        <f>SUMPRODUCT(MAX((Seguimientos!$A$2:$A$1013=A82)*(Seguimientos!$H$2:$H$1013&lt;&gt;"")*Seguimientos!$B$2:$B$1013))</f>
        <v/>
      </c>
      <c r="N82" s="8">
        <f>IF(M82=0,"",INDEX(Seguimientos!$F$2:$F$1013,MATCH(A82&amp;"|"&amp;M82,Seguimientos!$K$2:$K$1013,0)))</f>
        <v/>
      </c>
      <c r="O82" s="14">
        <f>IF(M82=0,0,INDEX(Seguimientos!$H$2:$H$1013,MATCH(A82&amp;"|"&amp;M82,Seguimientos!$K$2:$K$1013,0)))</f>
        <v/>
      </c>
      <c r="P82" s="9">
        <f>O82/2</f>
        <v/>
      </c>
      <c r="Q82" s="7">
        <f>INDEX(Escala!$B$2:$B$6,MATCH(O82,Escala!$A$2:$A$6,0))</f>
        <v/>
      </c>
      <c r="R82" s="7">
        <f>IF(O82=2,"Sí","No")</f>
        <v/>
      </c>
      <c r="S82" s="7">
        <f>IF(O82=0,"Sí","No")</f>
        <v/>
      </c>
      <c r="T82" s="7">
        <f>IF(AND(ISNUMBER(K82),O82&lt;2),IF(K82&lt;INDEX('Por sistema'!$D$5:$D$9,MATCH(B82,'Por sistema'!$A$5:$A$9,0)),"Sí","No"),"No")</f>
        <v/>
      </c>
    </row>
    <row r="83">
      <c r="A83" s="7" t="inlineStr">
        <is>
          <t>sga-2022-5</t>
        </is>
      </c>
      <c r="B83" s="7" t="inlineStr">
        <is>
          <t>SGA</t>
        </is>
      </c>
      <c r="C83" s="7" t="inlineStr">
        <is>
          <t>Sistema de Gestión Ambiental</t>
        </is>
      </c>
      <c r="D83" s="7" t="inlineStr">
        <is>
          <t>2022</t>
        </is>
      </c>
      <c r="E83" s="7" t="n">
        <v>5</v>
      </c>
      <c r="F83" s="13" t="inlineStr">
        <is>
          <t>Revisión para aprobación de la propuesta de actualización de la Política de Gestión Ambiental​</t>
        </is>
      </c>
      <c r="G83" s="13" t="inlineStr">
        <is>
          <t>Sistema de Gestión Ambiental - Directora de Planeación Institucional</t>
        </is>
      </c>
      <c r="H83" s="13" t="inlineStr">
        <is>
          <t>Planeación Institucional, Gestión Ambiental</t>
        </is>
      </c>
      <c r="I83" s="13" t="inlineStr">
        <is>
          <t>5.1 Actualización de la Política Ambiental como Lineamiento de Gestión Ambiental Institucional.</t>
        </is>
      </c>
      <c r="J83" s="13" t="inlineStr">
        <is>
          <t>15-12-2023</t>
        </is>
      </c>
      <c r="K83" s="8" t="n">
        <v>45275</v>
      </c>
      <c r="L83" s="7">
        <f>COUNTIF(Seguimientos!$A$2:$A$1013,A83)</f>
        <v/>
      </c>
      <c r="M83" s="7">
        <f>SUMPRODUCT(MAX((Seguimientos!$A$2:$A$1013=A83)*(Seguimientos!$H$2:$H$1013&lt;&gt;"")*Seguimientos!$B$2:$B$1013))</f>
        <v/>
      </c>
      <c r="N83" s="8">
        <f>IF(M83=0,"",INDEX(Seguimientos!$F$2:$F$1013,MATCH(A83&amp;"|"&amp;M83,Seguimientos!$K$2:$K$1013,0)))</f>
        <v/>
      </c>
      <c r="O83" s="14">
        <f>IF(M83=0,0,INDEX(Seguimientos!$H$2:$H$1013,MATCH(A83&amp;"|"&amp;M83,Seguimientos!$K$2:$K$1013,0)))</f>
        <v/>
      </c>
      <c r="P83" s="9">
        <f>O83/2</f>
        <v/>
      </c>
      <c r="Q83" s="7">
        <f>INDEX(Escala!$B$2:$B$6,MATCH(O83,Escala!$A$2:$A$6,0))</f>
        <v/>
      </c>
      <c r="R83" s="7">
        <f>IF(O83=2,"Sí","No")</f>
        <v/>
      </c>
      <c r="S83" s="7">
        <f>IF(O83=0,"Sí","No")</f>
        <v/>
      </c>
      <c r="T83" s="7">
        <f>IF(AND(ISNUMBER(K83),O83&lt;2),IF(K83&lt;INDEX('Por sistema'!$D$5:$D$9,MATCH(B83,'Por sistema'!$A$5:$A$9,0)),"Sí","No"),"No")</f>
        <v/>
      </c>
    </row>
    <row r="84">
      <c r="A84" s="7" t="inlineStr">
        <is>
          <t>sga-2022-6</t>
        </is>
      </c>
      <c r="B84" s="7" t="inlineStr">
        <is>
          <t>SGA</t>
        </is>
      </c>
      <c r="C84" s="7" t="inlineStr">
        <is>
          <t>Sistema de Gestión Ambiental</t>
        </is>
      </c>
      <c r="D84" s="7" t="inlineStr">
        <is>
          <t>2022</t>
        </is>
      </c>
      <c r="E84" s="7" t="n">
        <v>6</v>
      </c>
      <c r="F84" s="13" t="inlineStr">
        <is>
          <t>Fortalecer la articulación de los Sistemas Integrados de Gestión con la Academia a través de la Inducción presencial de estudiantes, encuentros Dialógicos y otros espacios académicos ( presenciales o mediados por las tecnologías) y con los procesos implementando el Curso virtual SGA.​</t>
        </is>
      </c>
      <c r="G84" s="13" t="inlineStr">
        <is>
          <t>Sistema de Gestión Ambiental - Directora de Planeación Institucional</t>
        </is>
      </c>
      <c r="H84" s="13" t="inlineStr">
        <is>
          <t>Planeación Institucional, Gestión Ambiental</t>
        </is>
      </c>
      <c r="I84" s="13" t="inlineStr">
        <is>
          <t>6.1 Evidencias de componente ambiental en espacios presenciales o virtuales de la acogida de estudiantes.</t>
        </is>
      </c>
      <c r="J84" s="13" t="inlineStr">
        <is>
          <t>15-12-2023</t>
        </is>
      </c>
      <c r="K84" s="8" t="n">
        <v>45275</v>
      </c>
      <c r="L84" s="7">
        <f>COUNTIF(Seguimientos!$A$2:$A$1013,A84)</f>
        <v/>
      </c>
      <c r="M84" s="7">
        <f>SUMPRODUCT(MAX((Seguimientos!$A$2:$A$1013=A84)*(Seguimientos!$H$2:$H$1013&lt;&gt;"")*Seguimientos!$B$2:$B$1013))</f>
        <v/>
      </c>
      <c r="N84" s="8">
        <f>IF(M84=0,"",INDEX(Seguimientos!$F$2:$F$1013,MATCH(A84&amp;"|"&amp;M84,Seguimientos!$K$2:$K$1013,0)))</f>
        <v/>
      </c>
      <c r="O84" s="14">
        <f>IF(M84=0,0,INDEX(Seguimientos!$H$2:$H$1013,MATCH(A84&amp;"|"&amp;M84,Seguimientos!$K$2:$K$1013,0)))</f>
        <v/>
      </c>
      <c r="P84" s="9">
        <f>O84/2</f>
        <v/>
      </c>
      <c r="Q84" s="7">
        <f>INDEX(Escala!$B$2:$B$6,MATCH(O84,Escala!$A$2:$A$6,0))</f>
        <v/>
      </c>
      <c r="R84" s="7">
        <f>IF(O84=2,"Sí","No")</f>
        <v/>
      </c>
      <c r="S84" s="7">
        <f>IF(O84=0,"Sí","No")</f>
        <v/>
      </c>
      <c r="T84" s="7">
        <f>IF(AND(ISNUMBER(K84),O84&lt;2),IF(K84&lt;INDEX('Por sistema'!$D$5:$D$9,MATCH(B84,'Por sistema'!$A$5:$A$9,0)),"Sí","No"),"No")</f>
        <v/>
      </c>
    </row>
    <row r="85">
      <c r="A85" s="7" t="inlineStr">
        <is>
          <t>sga-2022-7</t>
        </is>
      </c>
      <c r="B85" s="7" t="inlineStr">
        <is>
          <t>SGA</t>
        </is>
      </c>
      <c r="C85" s="7" t="inlineStr">
        <is>
          <t>Sistema de Gestión Ambiental</t>
        </is>
      </c>
      <c r="D85" s="7" t="inlineStr">
        <is>
          <t>2022</t>
        </is>
      </c>
      <c r="E85" s="7" t="n">
        <v>7</v>
      </c>
      <c r="F85" s="13" t="inlineStr">
        <is>
          <t>Evaluar la viabilidad de realizar las reuniones de Comisión de Gestión con frecuencia bimensual​ para fortalecer los procesos de planeación, implementación y seguimiento de los Sistemas Integrados de Gestión con la oportuna toma de decisiones según la dinámica institucional.</t>
        </is>
      </c>
      <c r="G85" s="13" t="inlineStr">
        <is>
          <t>Sistema de Gestión Ambiental - Directora de Planeación Institucional</t>
        </is>
      </c>
      <c r="H85" s="13" t="inlineStr">
        <is>
          <t>Planeación Institucional, Gestión Ambiental</t>
        </is>
      </c>
      <c r="I85" s="13" t="inlineStr">
        <is>
          <t>7.1 Acta de Comisión de Gestión con aprobación de la propuesta de realizar las sesiones cada dos meses para fortalecer los procesos de planeación, implementación y seguimiento de los Sistemas Integrados de Gestión .</t>
        </is>
      </c>
      <c r="J85" s="13" t="inlineStr">
        <is>
          <t>15-12-2023</t>
        </is>
      </c>
      <c r="K85" s="8" t="n">
        <v>45275</v>
      </c>
      <c r="L85" s="7">
        <f>COUNTIF(Seguimientos!$A$2:$A$1013,A85)</f>
        <v/>
      </c>
      <c r="M85" s="7">
        <f>SUMPRODUCT(MAX((Seguimientos!$A$2:$A$1013=A85)*(Seguimientos!$H$2:$H$1013&lt;&gt;"")*Seguimientos!$B$2:$B$1013))</f>
        <v/>
      </c>
      <c r="N85" s="8">
        <f>IF(M85=0,"",INDEX(Seguimientos!$F$2:$F$1013,MATCH(A85&amp;"|"&amp;M85,Seguimientos!$K$2:$K$1013,0)))</f>
        <v/>
      </c>
      <c r="O85" s="14">
        <f>IF(M85=0,0,INDEX(Seguimientos!$H$2:$H$1013,MATCH(A85&amp;"|"&amp;M85,Seguimientos!$K$2:$K$1013,0)))</f>
        <v/>
      </c>
      <c r="P85" s="9">
        <f>O85/2</f>
        <v/>
      </c>
      <c r="Q85" s="7">
        <f>INDEX(Escala!$B$2:$B$6,MATCH(O85,Escala!$A$2:$A$6,0))</f>
        <v/>
      </c>
      <c r="R85" s="7">
        <f>IF(O85=2,"Sí","No")</f>
        <v/>
      </c>
      <c r="S85" s="7">
        <f>IF(O85=0,"Sí","No")</f>
        <v/>
      </c>
      <c r="T85" s="7">
        <f>IF(AND(ISNUMBER(K85),O85&lt;2),IF(K85&lt;INDEX('Por sistema'!$D$5:$D$9,MATCH(B85,'Por sistema'!$A$5:$A$9,0)),"Sí","No"),"No")</f>
        <v/>
      </c>
    </row>
    <row r="86">
      <c r="A86" s="7" t="inlineStr">
        <is>
          <t>sga-2023-1</t>
        </is>
      </c>
      <c r="B86" s="7" t="inlineStr">
        <is>
          <t>SGA</t>
        </is>
      </c>
      <c r="C86" s="7" t="inlineStr">
        <is>
          <t>Sistema de Gestión Ambiental</t>
        </is>
      </c>
      <c r="D86" s="7" t="inlineStr">
        <is>
          <t>2023</t>
        </is>
      </c>
      <c r="E86" s="7" t="n">
        <v>1</v>
      </c>
      <c r="F86" s="13" t="inlineStr">
        <is>
          <t>Priorizar inversiones asociadas con Planes de Mejoramiento de auditorías SGA y SST para vigencia 2024</t>
        </is>
      </c>
      <c r="G86" s="13" t="inlineStr">
        <is>
          <t>Directora de Planeación Institucional. Coordinadora SGA.</t>
        </is>
      </c>
      <c r="H86" s="13" t="inlineStr">
        <is>
          <t>Planeación Institucional, Gestión Ambiental</t>
        </is>
      </c>
      <c r="I86" s="13" t="inlineStr">
        <is>
          <t>1.1. Planes de mejoramiento aprobados, implementados, y verificados</t>
        </is>
      </c>
      <c r="J86" s="13" t="inlineStr">
        <is>
          <t>2024 - I</t>
        </is>
      </c>
      <c r="K86" s="8" t="n"/>
      <c r="L86" s="7">
        <f>COUNTIF(Seguimientos!$A$2:$A$1013,A86)</f>
        <v/>
      </c>
      <c r="M86" s="7">
        <f>SUMPRODUCT(MAX((Seguimientos!$A$2:$A$1013=A86)*(Seguimientos!$H$2:$H$1013&lt;&gt;"")*Seguimientos!$B$2:$B$1013))</f>
        <v/>
      </c>
      <c r="N86" s="8">
        <f>IF(M86=0,"",INDEX(Seguimientos!$F$2:$F$1013,MATCH(A86&amp;"|"&amp;M86,Seguimientos!$K$2:$K$1013,0)))</f>
        <v/>
      </c>
      <c r="O86" s="14">
        <f>IF(M86=0,0,INDEX(Seguimientos!$H$2:$H$1013,MATCH(A86&amp;"|"&amp;M86,Seguimientos!$K$2:$K$1013,0)))</f>
        <v/>
      </c>
      <c r="P86" s="9">
        <f>O86/2</f>
        <v/>
      </c>
      <c r="Q86" s="7">
        <f>INDEX(Escala!$B$2:$B$6,MATCH(O86,Escala!$A$2:$A$6,0))</f>
        <v/>
      </c>
      <c r="R86" s="7">
        <f>IF(O86=2,"Sí","No")</f>
        <v/>
      </c>
      <c r="S86" s="7">
        <f>IF(O86=0,"Sí","No")</f>
        <v/>
      </c>
      <c r="T86" s="7">
        <f>IF(AND(ISNUMBER(K86),O86&lt;2),IF(K86&lt;INDEX('Por sistema'!$D$5:$D$9,MATCH(B86,'Por sistema'!$A$5:$A$9,0)),"Sí","No"),"No")</f>
        <v/>
      </c>
    </row>
    <row r="87">
      <c r="A87" s="7" t="inlineStr">
        <is>
          <t>sga-2023-sn3csidz</t>
        </is>
      </c>
      <c r="B87" s="7" t="inlineStr">
        <is>
          <t>SGA</t>
        </is>
      </c>
      <c r="C87" s="7" t="inlineStr">
        <is>
          <t>Sistema de Gestión Ambiental</t>
        </is>
      </c>
      <c r="D87" s="7" t="inlineStr">
        <is>
          <t>2023</t>
        </is>
      </c>
      <c r="E87" s="7" t="n"/>
      <c r="F87" s="13" t="inlineStr">
        <is>
          <t>Realizar auditoría interna a la totalidad de las sedes y de seguimiento a la certificación ISO 14001 SGA en las sedes aún no verificadas: Extensión Chía, Extensión Zipaquirá, Extensión Soacha, Unidad Agroambiental la Esperanza de Fusagasugá, Centro Académico Deportivo CAD y Oficinas Bogotá</t>
        </is>
      </c>
      <c r="G87" s="13" t="inlineStr">
        <is>
          <t>Directora de Planeación Institucional. Coordinadora SGA.</t>
        </is>
      </c>
      <c r="H87" s="13" t="inlineStr">
        <is>
          <t>Planeación Institucional, Gestión Ambiental</t>
        </is>
      </c>
      <c r="I87" s="13" t="inlineStr">
        <is>
          <t>2.1. Plan de auditoria 2.2. Contrato de auditoría interna combinada. 2.3. Contrato de Auditoría de tercera parte. 2.4 Informes de auditorías SGA.</t>
        </is>
      </c>
      <c r="J87" s="13" t="inlineStr">
        <is>
          <t>2024 - II</t>
        </is>
      </c>
      <c r="K87" s="8" t="n"/>
      <c r="L87" s="7">
        <f>COUNTIF(Seguimientos!$A$2:$A$1013,A87)</f>
        <v/>
      </c>
      <c r="M87" s="7">
        <f>SUMPRODUCT(MAX((Seguimientos!$A$2:$A$1013=A87)*(Seguimientos!$H$2:$H$1013&lt;&gt;"")*Seguimientos!$B$2:$B$1013))</f>
        <v/>
      </c>
      <c r="N87" s="8">
        <f>IF(M87=0,"",INDEX(Seguimientos!$F$2:$F$1013,MATCH(A87&amp;"|"&amp;M87,Seguimientos!$K$2:$K$1013,0)))</f>
        <v/>
      </c>
      <c r="O87" s="14">
        <f>IF(M87=0,0,INDEX(Seguimientos!$H$2:$H$1013,MATCH(A87&amp;"|"&amp;M87,Seguimientos!$K$2:$K$1013,0)))</f>
        <v/>
      </c>
      <c r="P87" s="9">
        <f>O87/2</f>
        <v/>
      </c>
      <c r="Q87" s="7">
        <f>INDEX(Escala!$B$2:$B$6,MATCH(O87,Escala!$A$2:$A$6,0))</f>
        <v/>
      </c>
      <c r="R87" s="7">
        <f>IF(O87=2,"Sí","No")</f>
        <v/>
      </c>
      <c r="S87" s="7">
        <f>IF(O87=0,"Sí","No")</f>
        <v/>
      </c>
      <c r="T87" s="7">
        <f>IF(AND(ISNUMBER(K87),O87&lt;2),IF(K87&lt;INDEX('Por sistema'!$D$5:$D$9,MATCH(B87,'Por sistema'!$A$5:$A$9,0)),"Sí","No"),"No")</f>
        <v/>
      </c>
    </row>
    <row r="88">
      <c r="A88" s="7" t="inlineStr">
        <is>
          <t>sga-2023-3</t>
        </is>
      </c>
      <c r="B88" s="7" t="inlineStr">
        <is>
          <t>SGA</t>
        </is>
      </c>
      <c r="C88" s="7" t="inlineStr">
        <is>
          <t>Sistema de Gestión Ambiental</t>
        </is>
      </c>
      <c r="D88" s="7" t="inlineStr">
        <is>
          <t>2023</t>
        </is>
      </c>
      <c r="E88" s="7" t="n">
        <v>3</v>
      </c>
      <c r="F88" s="13" t="inlineStr">
        <is>
          <t>Revisar y evaluar la propuesta de la actualización de la Política de Gestión Ambiental como Lineamiento institucional de Gestión Ambiental, presentado a la Comisión de Gestión en 2023.</t>
        </is>
      </c>
      <c r="G88" s="13" t="inlineStr">
        <is>
          <t>Directora de Planeación Institucional. Coordinadora SGA.</t>
        </is>
      </c>
      <c r="H88" s="13" t="inlineStr">
        <is>
          <t>Planeación Institucional, Gestión Ambiental</t>
        </is>
      </c>
      <c r="I88" s="13" t="inlineStr">
        <is>
          <t>3.1. Política de Gestión Ambiental aprobada, divulgada y publicada.</t>
        </is>
      </c>
      <c r="J88" s="13" t="inlineStr">
        <is>
          <t>2024 - I</t>
        </is>
      </c>
      <c r="K88" s="8" t="n"/>
      <c r="L88" s="7">
        <f>COUNTIF(Seguimientos!$A$2:$A$1013,A88)</f>
        <v/>
      </c>
      <c r="M88" s="7">
        <f>SUMPRODUCT(MAX((Seguimientos!$A$2:$A$1013=A88)*(Seguimientos!$H$2:$H$1013&lt;&gt;"")*Seguimientos!$B$2:$B$1013))</f>
        <v/>
      </c>
      <c r="N88" s="8">
        <f>IF(M88=0,"",INDEX(Seguimientos!$F$2:$F$1013,MATCH(A88&amp;"|"&amp;M88,Seguimientos!$K$2:$K$1013,0)))</f>
        <v/>
      </c>
      <c r="O88" s="14">
        <f>IF(M88=0,0,INDEX(Seguimientos!$H$2:$H$1013,MATCH(A88&amp;"|"&amp;M88,Seguimientos!$K$2:$K$1013,0)))</f>
        <v/>
      </c>
      <c r="P88" s="9">
        <f>O88/2</f>
        <v/>
      </c>
      <c r="Q88" s="7">
        <f>INDEX(Escala!$B$2:$B$6,MATCH(O88,Escala!$A$2:$A$6,0))</f>
        <v/>
      </c>
      <c r="R88" s="7">
        <f>IF(O88=2,"Sí","No")</f>
        <v/>
      </c>
      <c r="S88" s="7">
        <f>IF(O88=0,"Sí","No")</f>
        <v/>
      </c>
      <c r="T88" s="7">
        <f>IF(AND(ISNUMBER(K88),O88&lt;2),IF(K88&lt;INDEX('Por sistema'!$D$5:$D$9,MATCH(B88,'Por sistema'!$A$5:$A$9,0)),"Sí","No"),"No")</f>
        <v/>
      </c>
    </row>
    <row r="89">
      <c r="A89" s="7" t="inlineStr">
        <is>
          <t>sga-2024-1</t>
        </is>
      </c>
      <c r="B89" s="7" t="inlineStr">
        <is>
          <t>SGA</t>
        </is>
      </c>
      <c r="C89" s="7" t="inlineStr">
        <is>
          <t>Sistema de Gestión Ambiental</t>
        </is>
      </c>
      <c r="D89" s="7" t="inlineStr">
        <is>
          <t>2024</t>
        </is>
      </c>
      <c r="E89" s="7" t="n">
        <v>1</v>
      </c>
      <c r="F89" s="13" t="inlineStr">
        <is>
          <t>Desarrollar un marco de acción climática que alinee las metas institucionales con las políticas nacionales e internacionales sobre cambio.</t>
        </is>
      </c>
      <c r="G89" s="13" t="inlineStr">
        <is>
          <t>SGA</t>
        </is>
      </c>
      <c r="H89" s="13" t="inlineStr">
        <is>
          <t>Gestión Ambiental</t>
        </is>
      </c>
      <c r="I89" s="13" t="inlineStr">
        <is>
          <t>Diagnóstico de las políticas nacionales e internacionales actuales sobre cambio climático y sostenibilidad.</t>
        </is>
      </c>
      <c r="J89" s="13" t="inlineStr">
        <is>
          <t>31/06/2025</t>
        </is>
      </c>
      <c r="K89" s="8" t="n"/>
      <c r="L89" s="7">
        <f>COUNTIF(Seguimientos!$A$2:$A$1013,A89)</f>
        <v/>
      </c>
      <c r="M89" s="7">
        <f>SUMPRODUCT(MAX((Seguimientos!$A$2:$A$1013=A89)*(Seguimientos!$H$2:$H$1013&lt;&gt;"")*Seguimientos!$B$2:$B$1013))</f>
        <v/>
      </c>
      <c r="N89" s="8">
        <f>IF(M89=0,"",INDEX(Seguimientos!$F$2:$F$1013,MATCH(A89&amp;"|"&amp;M89,Seguimientos!$K$2:$K$1013,0)))</f>
        <v/>
      </c>
      <c r="O89" s="14">
        <f>IF(M89=0,0,INDEX(Seguimientos!$H$2:$H$1013,MATCH(A89&amp;"|"&amp;M89,Seguimientos!$K$2:$K$1013,0)))</f>
        <v/>
      </c>
      <c r="P89" s="9">
        <f>O89/2</f>
        <v/>
      </c>
      <c r="Q89" s="7">
        <f>INDEX(Escala!$B$2:$B$6,MATCH(O89,Escala!$A$2:$A$6,0))</f>
        <v/>
      </c>
      <c r="R89" s="7">
        <f>IF(O89=2,"Sí","No")</f>
        <v/>
      </c>
      <c r="S89" s="7">
        <f>IF(O89=0,"Sí","No")</f>
        <v/>
      </c>
      <c r="T89" s="7">
        <f>IF(AND(ISNUMBER(K89),O89&lt;2),IF(K89&lt;INDEX('Por sistema'!$D$5:$D$9,MATCH(B89,'Por sistema'!$A$5:$A$9,0)),"Sí","No"),"No")</f>
        <v/>
      </c>
    </row>
    <row r="90">
      <c r="A90" s="7" t="inlineStr">
        <is>
          <t>sga-2024-2</t>
        </is>
      </c>
      <c r="B90" s="7" t="inlineStr">
        <is>
          <t>SGA</t>
        </is>
      </c>
      <c r="C90" s="7" t="inlineStr">
        <is>
          <t>Sistema de Gestión Ambiental</t>
        </is>
      </c>
      <c r="D90" s="7" t="inlineStr">
        <is>
          <t>2024</t>
        </is>
      </c>
      <c r="E90" s="7" t="n">
        <v>2</v>
      </c>
      <c r="F90" s="13" t="inlineStr">
        <is>
          <t>Revisar y actualizar los lineamientos internos para incluir consideraciones de sostenibilidad y resiliencia.</t>
        </is>
      </c>
      <c r="G90" s="13" t="inlineStr">
        <is>
          <t>SGA</t>
        </is>
      </c>
      <c r="H90" s="13" t="inlineStr">
        <is>
          <t>Gestión Ambiental</t>
        </is>
      </c>
      <c r="I90" s="13" t="inlineStr">
        <is>
          <t>Informe Evaluación institucional. Identificar áreas clave para la integración de acciones climáticas.</t>
        </is>
      </c>
      <c r="J90" s="13" t="inlineStr">
        <is>
          <t>46021</t>
        </is>
      </c>
      <c r="K90" s="8" t="n">
        <v>46021</v>
      </c>
      <c r="L90" s="7">
        <f>COUNTIF(Seguimientos!$A$2:$A$1013,A90)</f>
        <v/>
      </c>
      <c r="M90" s="7">
        <f>SUMPRODUCT(MAX((Seguimientos!$A$2:$A$1013=A90)*(Seguimientos!$H$2:$H$1013&lt;&gt;"")*Seguimientos!$B$2:$B$1013))</f>
        <v/>
      </c>
      <c r="N90" s="8">
        <f>IF(M90=0,"",INDEX(Seguimientos!$F$2:$F$1013,MATCH(A90&amp;"|"&amp;M90,Seguimientos!$K$2:$K$1013,0)))</f>
        <v/>
      </c>
      <c r="O90" s="14">
        <f>IF(M90=0,0,INDEX(Seguimientos!$H$2:$H$1013,MATCH(A90&amp;"|"&amp;M90,Seguimientos!$K$2:$K$1013,0)))</f>
        <v/>
      </c>
      <c r="P90" s="9">
        <f>O90/2</f>
        <v/>
      </c>
      <c r="Q90" s="7">
        <f>INDEX(Escala!$B$2:$B$6,MATCH(O90,Escala!$A$2:$A$6,0))</f>
        <v/>
      </c>
      <c r="R90" s="7">
        <f>IF(O90=2,"Sí","No")</f>
        <v/>
      </c>
      <c r="S90" s="7">
        <f>IF(O90=0,"Sí","No")</f>
        <v/>
      </c>
      <c r="T90" s="7">
        <f>IF(AND(ISNUMBER(K90),O90&lt;2),IF(K90&lt;INDEX('Por sistema'!$D$5:$D$9,MATCH(B90,'Por sistema'!$A$5:$A$9,0)),"Sí","No"),"No")</f>
        <v/>
      </c>
    </row>
    <row r="91">
      <c r="A91" s="7" t="inlineStr">
        <is>
          <t>sga-2024-3</t>
        </is>
      </c>
      <c r="B91" s="7" t="inlineStr">
        <is>
          <t>SGA</t>
        </is>
      </c>
      <c r="C91" s="7" t="inlineStr">
        <is>
          <t>Sistema de Gestión Ambiental</t>
        </is>
      </c>
      <c r="D91" s="7" t="inlineStr">
        <is>
          <t>2024</t>
        </is>
      </c>
      <c r="E91" s="7" t="n">
        <v>3</v>
      </c>
      <c r="F91" s="13" t="inlineStr">
        <is>
          <t>Establecer acuerdos de colaboración con partes interesadas especializados en cambio climático.</t>
        </is>
      </c>
      <c r="G91" s="13" t="inlineStr">
        <is>
          <t>SGA</t>
        </is>
      </c>
      <c r="H91" s="13" t="inlineStr">
        <is>
          <t>Gestión Ambiental</t>
        </is>
      </c>
      <c r="I91" s="13" t="inlineStr">
        <is>
          <t>Actas/ evidencias de reunión.</t>
        </is>
      </c>
      <c r="J91" s="13" t="inlineStr">
        <is>
          <t>46021</t>
        </is>
      </c>
      <c r="K91" s="8" t="n">
        <v>46021</v>
      </c>
      <c r="L91" s="7">
        <f>COUNTIF(Seguimientos!$A$2:$A$1013,A91)</f>
        <v/>
      </c>
      <c r="M91" s="7">
        <f>SUMPRODUCT(MAX((Seguimientos!$A$2:$A$1013=A91)*(Seguimientos!$H$2:$H$1013&lt;&gt;"")*Seguimientos!$B$2:$B$1013))</f>
        <v/>
      </c>
      <c r="N91" s="8">
        <f>IF(M91=0,"",INDEX(Seguimientos!$F$2:$F$1013,MATCH(A91&amp;"|"&amp;M91,Seguimientos!$K$2:$K$1013,0)))</f>
        <v/>
      </c>
      <c r="O91" s="14">
        <f>IF(M91=0,0,INDEX(Seguimientos!$H$2:$H$1013,MATCH(A91&amp;"|"&amp;M91,Seguimientos!$K$2:$K$1013,0)))</f>
        <v/>
      </c>
      <c r="P91" s="9">
        <f>O91/2</f>
        <v/>
      </c>
      <c r="Q91" s="7">
        <f>INDEX(Escala!$B$2:$B$6,MATCH(O91,Escala!$A$2:$A$6,0))</f>
        <v/>
      </c>
      <c r="R91" s="7">
        <f>IF(O91=2,"Sí","No")</f>
        <v/>
      </c>
      <c r="S91" s="7">
        <f>IF(O91=0,"Sí","No")</f>
        <v/>
      </c>
      <c r="T91" s="7">
        <f>IF(AND(ISNUMBER(K91),O91&lt;2),IF(K91&lt;INDEX('Por sistema'!$D$5:$D$9,MATCH(B91,'Por sistema'!$A$5:$A$9,0)),"Sí","No"),"No")</f>
        <v/>
      </c>
    </row>
    <row r="92">
      <c r="A92" s="7" t="inlineStr">
        <is>
          <t>sga-2024-3-sn2y0blt</t>
        </is>
      </c>
      <c r="B92" s="7" t="inlineStr">
        <is>
          <t>SGA</t>
        </is>
      </c>
      <c r="C92" s="7" t="inlineStr">
        <is>
          <t>Sistema de Gestión Ambiental</t>
        </is>
      </c>
      <c r="D92" s="7" t="inlineStr">
        <is>
          <t>2024</t>
        </is>
      </c>
      <c r="E92" s="7" t="n">
        <v>3</v>
      </c>
      <c r="F92" s="13" t="inlineStr">
        <is>
          <t>Establecer acuerdos de colaboración con partes interesadas especializados en cambio climático.</t>
        </is>
      </c>
      <c r="G92" s="13" t="inlineStr">
        <is>
          <t>SGA</t>
        </is>
      </c>
      <c r="H92" s="13" t="inlineStr">
        <is>
          <t>Gestión Ambiental</t>
        </is>
      </c>
      <c r="I92" s="13" t="inlineStr">
        <is>
          <t>Acuerdos interinstitucionales.</t>
        </is>
      </c>
      <c r="J92" s="13" t="inlineStr">
        <is>
          <t>46021</t>
        </is>
      </c>
      <c r="K92" s="8" t="n">
        <v>46021</v>
      </c>
      <c r="L92" s="7">
        <f>COUNTIF(Seguimientos!$A$2:$A$1013,A92)</f>
        <v/>
      </c>
      <c r="M92" s="7">
        <f>SUMPRODUCT(MAX((Seguimientos!$A$2:$A$1013=A92)*(Seguimientos!$H$2:$H$1013&lt;&gt;"")*Seguimientos!$B$2:$B$1013))</f>
        <v/>
      </c>
      <c r="N92" s="8">
        <f>IF(M92=0,"",INDEX(Seguimientos!$F$2:$F$1013,MATCH(A92&amp;"|"&amp;M92,Seguimientos!$K$2:$K$1013,0)))</f>
        <v/>
      </c>
      <c r="O92" s="14">
        <f>IF(M92=0,0,INDEX(Seguimientos!$H$2:$H$1013,MATCH(A92&amp;"|"&amp;M92,Seguimientos!$K$2:$K$1013,0)))</f>
        <v/>
      </c>
      <c r="P92" s="9">
        <f>O92/2</f>
        <v/>
      </c>
      <c r="Q92" s="7">
        <f>INDEX(Escala!$B$2:$B$6,MATCH(O92,Escala!$A$2:$A$6,0))</f>
        <v/>
      </c>
      <c r="R92" s="7">
        <f>IF(O92=2,"Sí","No")</f>
        <v/>
      </c>
      <c r="S92" s="7">
        <f>IF(O92=0,"Sí","No")</f>
        <v/>
      </c>
      <c r="T92" s="7">
        <f>IF(AND(ISNUMBER(K92),O92&lt;2),IF(K92&lt;INDEX('Por sistema'!$D$5:$D$9,MATCH(B92,'Por sistema'!$A$5:$A$9,0)),"Sí","No"),"No")</f>
        <v/>
      </c>
    </row>
    <row r="93">
      <c r="A93" s="7" t="inlineStr">
        <is>
          <t>sga-2024-4</t>
        </is>
      </c>
      <c r="B93" s="7" t="inlineStr">
        <is>
          <t>SGA</t>
        </is>
      </c>
      <c r="C93" s="7" t="inlineStr">
        <is>
          <t>Sistema de Gestión Ambiental</t>
        </is>
      </c>
      <c r="D93" s="7" t="inlineStr">
        <is>
          <t>2024</t>
        </is>
      </c>
      <c r="E93" s="7" t="n">
        <v>4</v>
      </c>
      <c r="F93" s="13" t="inlineStr">
        <is>
          <t>Establecer indicadores específicos para medir el progreso en la integración climática.</t>
        </is>
      </c>
      <c r="G93" s="13" t="inlineStr">
        <is>
          <t>SGA</t>
        </is>
      </c>
      <c r="H93" s="13" t="inlineStr">
        <is>
          <t>Gestión Ambiental</t>
        </is>
      </c>
      <c r="I93" s="13" t="inlineStr">
        <is>
          <t>Matriz de indicadores.</t>
        </is>
      </c>
      <c r="J93" s="13" t="inlineStr">
        <is>
          <t>30/062025</t>
        </is>
      </c>
      <c r="K93" s="8" t="n">
        <v>45838</v>
      </c>
      <c r="L93" s="7">
        <f>COUNTIF(Seguimientos!$A$2:$A$1013,A93)</f>
        <v/>
      </c>
      <c r="M93" s="7">
        <f>SUMPRODUCT(MAX((Seguimientos!$A$2:$A$1013=A93)*(Seguimientos!$H$2:$H$1013&lt;&gt;"")*Seguimientos!$B$2:$B$1013))</f>
        <v/>
      </c>
      <c r="N93" s="8">
        <f>IF(M93=0,"",INDEX(Seguimientos!$F$2:$F$1013,MATCH(A93&amp;"|"&amp;M93,Seguimientos!$K$2:$K$1013,0)))</f>
        <v/>
      </c>
      <c r="O93" s="14">
        <f>IF(M93=0,0,INDEX(Seguimientos!$H$2:$H$1013,MATCH(A93&amp;"|"&amp;M93,Seguimientos!$K$2:$K$1013,0)))</f>
        <v/>
      </c>
      <c r="P93" s="9">
        <f>O93/2</f>
        <v/>
      </c>
      <c r="Q93" s="7">
        <f>INDEX(Escala!$B$2:$B$6,MATCH(O93,Escala!$A$2:$A$6,0))</f>
        <v/>
      </c>
      <c r="R93" s="7">
        <f>IF(O93=2,"Sí","No")</f>
        <v/>
      </c>
      <c r="S93" s="7">
        <f>IF(O93=0,"Sí","No")</f>
        <v/>
      </c>
      <c r="T93" s="7">
        <f>IF(AND(ISNUMBER(K93),O93&lt;2),IF(K93&lt;INDEX('Por sistema'!$D$5:$D$9,MATCH(B93,'Por sistema'!$A$5:$A$9,0)),"Sí","No"),"No")</f>
        <v/>
      </c>
    </row>
    <row r="94">
      <c r="A94" s="7" t="inlineStr">
        <is>
          <t>sga-2024-5</t>
        </is>
      </c>
      <c r="B94" s="7" t="inlineStr">
        <is>
          <t>SGA</t>
        </is>
      </c>
      <c r="C94" s="7" t="inlineStr">
        <is>
          <t>Sistema de Gestión Ambiental</t>
        </is>
      </c>
      <c r="D94" s="7" t="inlineStr">
        <is>
          <t>2024</t>
        </is>
      </c>
      <c r="E94" s="7" t="n">
        <v>5</v>
      </c>
      <c r="F94" s="13" t="inlineStr">
        <is>
          <t>Direccionar la medición de huella de carbono y su verificación al SGA.</t>
        </is>
      </c>
      <c r="G94" s="13" t="inlineStr">
        <is>
          <t>SGA</t>
        </is>
      </c>
      <c r="H94" s="13" t="inlineStr">
        <is>
          <t>Gestión Ambiental</t>
        </is>
      </c>
      <c r="I94" s="13" t="inlineStr">
        <is>
          <t>Inventario de emisiones 2024.</t>
        </is>
      </c>
      <c r="J94" s="13" t="inlineStr">
        <is>
          <t>45838</t>
        </is>
      </c>
      <c r="K94" s="8" t="n">
        <v>45838</v>
      </c>
      <c r="L94" s="7">
        <f>COUNTIF(Seguimientos!$A$2:$A$1013,A94)</f>
        <v/>
      </c>
      <c r="M94" s="7">
        <f>SUMPRODUCT(MAX((Seguimientos!$A$2:$A$1013=A94)*(Seguimientos!$H$2:$H$1013&lt;&gt;"")*Seguimientos!$B$2:$B$1013))</f>
        <v/>
      </c>
      <c r="N94" s="8">
        <f>IF(M94=0,"",INDEX(Seguimientos!$F$2:$F$1013,MATCH(A94&amp;"|"&amp;M94,Seguimientos!$K$2:$K$1013,0)))</f>
        <v/>
      </c>
      <c r="O94" s="14">
        <f>IF(M94=0,0,INDEX(Seguimientos!$H$2:$H$1013,MATCH(A94&amp;"|"&amp;M94,Seguimientos!$K$2:$K$1013,0)))</f>
        <v/>
      </c>
      <c r="P94" s="9">
        <f>O94/2</f>
        <v/>
      </c>
      <c r="Q94" s="7">
        <f>INDEX(Escala!$B$2:$B$6,MATCH(O94,Escala!$A$2:$A$6,0))</f>
        <v/>
      </c>
      <c r="R94" s="7">
        <f>IF(O94=2,"Sí","No")</f>
        <v/>
      </c>
      <c r="S94" s="7">
        <f>IF(O94=0,"Sí","No")</f>
        <v/>
      </c>
      <c r="T94" s="7">
        <f>IF(AND(ISNUMBER(K94),O94&lt;2),IF(K94&lt;INDEX('Por sistema'!$D$5:$D$9,MATCH(B94,'Por sistema'!$A$5:$A$9,0)),"Sí","No"),"No")</f>
        <v/>
      </c>
    </row>
    <row r="95">
      <c r="A95" s="7" t="inlineStr">
        <is>
          <t>sga-2024-5-sn1ip8sv</t>
        </is>
      </c>
      <c r="B95" s="7" t="inlineStr">
        <is>
          <t>SGA</t>
        </is>
      </c>
      <c r="C95" s="7" t="inlineStr">
        <is>
          <t>Sistema de Gestión Ambiental</t>
        </is>
      </c>
      <c r="D95" s="7" t="inlineStr">
        <is>
          <t>2024</t>
        </is>
      </c>
      <c r="E95" s="7" t="n">
        <v>5</v>
      </c>
      <c r="F95" s="13" t="inlineStr">
        <is>
          <t>Direccionar la medición de huella de carbono y su verificación al SGA.</t>
        </is>
      </c>
      <c r="G95" s="13" t="inlineStr">
        <is>
          <t>SGA Proveedor externo</t>
        </is>
      </c>
      <c r="H95" s="13" t="inlineStr">
        <is>
          <t>Gestión Ambiental</t>
        </is>
      </c>
      <c r="I95" s="13" t="inlineStr">
        <is>
          <t>Calculo de huella de CO2 2024.</t>
        </is>
      </c>
      <c r="J95" s="13" t="inlineStr">
        <is>
          <t>45838</t>
        </is>
      </c>
      <c r="K95" s="8" t="n">
        <v>45838</v>
      </c>
      <c r="L95" s="7">
        <f>COUNTIF(Seguimientos!$A$2:$A$1013,A95)</f>
        <v/>
      </c>
      <c r="M95" s="7">
        <f>SUMPRODUCT(MAX((Seguimientos!$A$2:$A$1013=A95)*(Seguimientos!$H$2:$H$1013&lt;&gt;"")*Seguimientos!$B$2:$B$1013))</f>
        <v/>
      </c>
      <c r="N95" s="8">
        <f>IF(M95=0,"",INDEX(Seguimientos!$F$2:$F$1013,MATCH(A95&amp;"|"&amp;M95,Seguimientos!$K$2:$K$1013,0)))</f>
        <v/>
      </c>
      <c r="O95" s="14">
        <f>IF(M95=0,0,INDEX(Seguimientos!$H$2:$H$1013,MATCH(A95&amp;"|"&amp;M95,Seguimientos!$K$2:$K$1013,0)))</f>
        <v/>
      </c>
      <c r="P95" s="9">
        <f>O95/2</f>
        <v/>
      </c>
      <c r="Q95" s="7">
        <f>INDEX(Escala!$B$2:$B$6,MATCH(O95,Escala!$A$2:$A$6,0))</f>
        <v/>
      </c>
      <c r="R95" s="7">
        <f>IF(O95=2,"Sí","No")</f>
        <v/>
      </c>
      <c r="S95" s="7">
        <f>IF(O95=0,"Sí","No")</f>
        <v/>
      </c>
      <c r="T95" s="7">
        <f>IF(AND(ISNUMBER(K95),O95&lt;2),IF(K95&lt;INDEX('Por sistema'!$D$5:$D$9,MATCH(B95,'Por sistema'!$A$5:$A$9,0)),"Sí","No"),"No")</f>
        <v/>
      </c>
    </row>
    <row r="96">
      <c r="A96" s="7" t="inlineStr">
        <is>
          <t>sga-2024-5-sn164bwd</t>
        </is>
      </c>
      <c r="B96" s="7" t="inlineStr">
        <is>
          <t>SGA</t>
        </is>
      </c>
      <c r="C96" s="7" t="inlineStr">
        <is>
          <t>Sistema de Gestión Ambiental</t>
        </is>
      </c>
      <c r="D96" s="7" t="inlineStr">
        <is>
          <t>2024</t>
        </is>
      </c>
      <c r="E96" s="7" t="n">
        <v>5</v>
      </c>
      <c r="F96" s="13" t="inlineStr">
        <is>
          <t>Direccionar la medición de huella de carbono y su verificación al SGA.</t>
        </is>
      </c>
      <c r="G96" s="13" t="inlineStr">
        <is>
          <t>SGA Proveedor externo</t>
        </is>
      </c>
      <c r="H96" s="13" t="inlineStr">
        <is>
          <t>Gestión Ambiental</t>
        </is>
      </c>
      <c r="I96" s="13" t="inlineStr">
        <is>
          <t>Resultados de verificación de la huella.</t>
        </is>
      </c>
      <c r="J96" s="13" t="inlineStr">
        <is>
          <t>46021</t>
        </is>
      </c>
      <c r="K96" s="8" t="n">
        <v>46021</v>
      </c>
      <c r="L96" s="7">
        <f>COUNTIF(Seguimientos!$A$2:$A$1013,A96)</f>
        <v/>
      </c>
      <c r="M96" s="7">
        <f>SUMPRODUCT(MAX((Seguimientos!$A$2:$A$1013=A96)*(Seguimientos!$H$2:$H$1013&lt;&gt;"")*Seguimientos!$B$2:$B$1013))</f>
        <v/>
      </c>
      <c r="N96" s="8">
        <f>IF(M96=0,"",INDEX(Seguimientos!$F$2:$F$1013,MATCH(A96&amp;"|"&amp;M96,Seguimientos!$K$2:$K$1013,0)))</f>
        <v/>
      </c>
      <c r="O96" s="14">
        <f>IF(M96=0,0,INDEX(Seguimientos!$H$2:$H$1013,MATCH(A96&amp;"|"&amp;M96,Seguimientos!$K$2:$K$1013,0)))</f>
        <v/>
      </c>
      <c r="P96" s="9">
        <f>O96/2</f>
        <v/>
      </c>
      <c r="Q96" s="7">
        <f>INDEX(Escala!$B$2:$B$6,MATCH(O96,Escala!$A$2:$A$6,0))</f>
        <v/>
      </c>
      <c r="R96" s="7">
        <f>IF(O96=2,"Sí","No")</f>
        <v/>
      </c>
      <c r="S96" s="7">
        <f>IF(O96=0,"Sí","No")</f>
        <v/>
      </c>
      <c r="T96" s="7">
        <f>IF(AND(ISNUMBER(K96),O96&lt;2),IF(K96&lt;INDEX('Por sistema'!$D$5:$D$9,MATCH(B96,'Por sistema'!$A$5:$A$9,0)),"Sí","No"),"No")</f>
        <v/>
      </c>
    </row>
    <row r="97">
      <c r="A97" s="7" t="inlineStr">
        <is>
          <t>sga-2024-6</t>
        </is>
      </c>
      <c r="B97" s="7" t="inlineStr">
        <is>
          <t>SGA</t>
        </is>
      </c>
      <c r="C97" s="7" t="inlineStr">
        <is>
          <t>Sistema de Gestión Ambiental</t>
        </is>
      </c>
      <c r="D97" s="7" t="inlineStr">
        <is>
          <t>2024</t>
        </is>
      </c>
      <c r="E97" s="7" t="n">
        <v>6</v>
      </c>
      <c r="F97" s="13" t="inlineStr">
        <is>
          <t>Actualizar equipos existentes para mejorar la precisión y confiabilidad de las mediciones. (eficiencia de paneles solares, medición de aguas lluvias, medición de aguas de punto de captación).</t>
        </is>
      </c>
      <c r="G97" s="13" t="inlineStr">
        <is>
          <t>SGA</t>
        </is>
      </c>
      <c r="H97" s="13" t="inlineStr">
        <is>
          <t>Gestión Ambiental</t>
        </is>
      </c>
      <c r="I97" s="13" t="inlineStr">
        <is>
          <t>Evaluación de los equipos actuales y su rendimiento.</t>
        </is>
      </c>
      <c r="J97" s="13" t="inlineStr">
        <is>
          <t>45747</t>
        </is>
      </c>
      <c r="K97" s="8" t="n">
        <v>45747</v>
      </c>
      <c r="L97" s="7">
        <f>COUNTIF(Seguimientos!$A$2:$A$1013,A97)</f>
        <v/>
      </c>
      <c r="M97" s="7">
        <f>SUMPRODUCT(MAX((Seguimientos!$A$2:$A$1013=A97)*(Seguimientos!$H$2:$H$1013&lt;&gt;"")*Seguimientos!$B$2:$B$1013))</f>
        <v/>
      </c>
      <c r="N97" s="8">
        <f>IF(M97=0,"",INDEX(Seguimientos!$F$2:$F$1013,MATCH(A97&amp;"|"&amp;M97,Seguimientos!$K$2:$K$1013,0)))</f>
        <v/>
      </c>
      <c r="O97" s="14">
        <f>IF(M97=0,0,INDEX(Seguimientos!$H$2:$H$1013,MATCH(A97&amp;"|"&amp;M97,Seguimientos!$K$2:$K$1013,0)))</f>
        <v/>
      </c>
      <c r="P97" s="9">
        <f>O97/2</f>
        <v/>
      </c>
      <c r="Q97" s="7">
        <f>INDEX(Escala!$B$2:$B$6,MATCH(O97,Escala!$A$2:$A$6,0))</f>
        <v/>
      </c>
      <c r="R97" s="7">
        <f>IF(O97=2,"Sí","No")</f>
        <v/>
      </c>
      <c r="S97" s="7">
        <f>IF(O97=0,"Sí","No")</f>
        <v/>
      </c>
      <c r="T97" s="7">
        <f>IF(AND(ISNUMBER(K97),O97&lt;2),IF(K97&lt;INDEX('Por sistema'!$D$5:$D$9,MATCH(B97,'Por sistema'!$A$5:$A$9,0)),"Sí","No"),"No")</f>
        <v/>
      </c>
    </row>
    <row r="98">
      <c r="A98" s="7" t="inlineStr">
        <is>
          <t>sga-2024-6-snvuu6j0</t>
        </is>
      </c>
      <c r="B98" s="7" t="inlineStr">
        <is>
          <t>SGA</t>
        </is>
      </c>
      <c r="C98" s="7" t="inlineStr">
        <is>
          <t>Sistema de Gestión Ambiental</t>
        </is>
      </c>
      <c r="D98" s="7" t="inlineStr">
        <is>
          <t>2024</t>
        </is>
      </c>
      <c r="E98" s="7" t="n">
        <v>6</v>
      </c>
      <c r="F98" s="13" t="inlineStr">
        <is>
          <t>Actualizar equipos existentes para mejorar la precisión y confiabilidad de las mediciones. (eficiencia de paneles solares, medición de aguas lluvias, medición de aguas de punto de captación).</t>
        </is>
      </c>
      <c r="G98" s="13" t="inlineStr">
        <is>
          <t>SGA</t>
        </is>
      </c>
      <c r="H98" s="13" t="inlineStr">
        <is>
          <t>Gestión Ambiental</t>
        </is>
      </c>
      <c r="I98" s="13" t="inlineStr">
        <is>
          <t>Identificación de mejoras tecnológicas y nuevas herramientas de medición.</t>
        </is>
      </c>
      <c r="J98" s="13" t="inlineStr">
        <is>
          <t>45748</t>
        </is>
      </c>
      <c r="K98" s="8" t="n">
        <v>45748</v>
      </c>
      <c r="L98" s="7">
        <f>COUNTIF(Seguimientos!$A$2:$A$1013,A98)</f>
        <v/>
      </c>
      <c r="M98" s="7">
        <f>SUMPRODUCT(MAX((Seguimientos!$A$2:$A$1013=A98)*(Seguimientos!$H$2:$H$1013&lt;&gt;"")*Seguimientos!$B$2:$B$1013))</f>
        <v/>
      </c>
      <c r="N98" s="8">
        <f>IF(M98=0,"",INDEX(Seguimientos!$F$2:$F$1013,MATCH(A98&amp;"|"&amp;M98,Seguimientos!$K$2:$K$1013,0)))</f>
        <v/>
      </c>
      <c r="O98" s="14">
        <f>IF(M98=0,0,INDEX(Seguimientos!$H$2:$H$1013,MATCH(A98&amp;"|"&amp;M98,Seguimientos!$K$2:$K$1013,0)))</f>
        <v/>
      </c>
      <c r="P98" s="9">
        <f>O98/2</f>
        <v/>
      </c>
      <c r="Q98" s="7">
        <f>INDEX(Escala!$B$2:$B$6,MATCH(O98,Escala!$A$2:$A$6,0))</f>
        <v/>
      </c>
      <c r="R98" s="7">
        <f>IF(O98=2,"Sí","No")</f>
        <v/>
      </c>
      <c r="S98" s="7">
        <f>IF(O98=0,"Sí","No")</f>
        <v/>
      </c>
      <c r="T98" s="7">
        <f>IF(AND(ISNUMBER(K98),O98&lt;2),IF(K98&lt;INDEX('Por sistema'!$D$5:$D$9,MATCH(B98,'Por sistema'!$A$5:$A$9,0)),"Sí","No"),"No")</f>
        <v/>
      </c>
    </row>
    <row r="99">
      <c r="A99" s="7" t="inlineStr">
        <is>
          <t>sga-2024-7</t>
        </is>
      </c>
      <c r="B99" s="7" t="inlineStr">
        <is>
          <t>SGA</t>
        </is>
      </c>
      <c r="C99" s="7" t="inlineStr">
        <is>
          <t>Sistema de Gestión Ambiental</t>
        </is>
      </c>
      <c r="D99" s="7" t="inlineStr">
        <is>
          <t>2024</t>
        </is>
      </c>
      <c r="E99" s="7" t="n">
        <v>7</v>
      </c>
      <c r="F99" s="13" t="inlineStr">
        <is>
          <t>Fortalecimiento con el Proceso de Bienestar Universitario para abarcar la población estudiantil.</t>
        </is>
      </c>
      <c r="G99" s="13" t="inlineStr">
        <is>
          <t>SGA Bienestar institucional</t>
        </is>
      </c>
      <c r="H99" s="13" t="inlineStr">
        <is>
          <t>Gestión Ambiental, Interacción Social y Bienestar</t>
        </is>
      </c>
      <c r="I99" s="13" t="inlineStr">
        <is>
          <t>Informe/matriz Revisión de los programas y actividades de bienestar existentes.</t>
        </is>
      </c>
      <c r="J99" s="13" t="inlineStr">
        <is>
          <t>45747</t>
        </is>
      </c>
      <c r="K99" s="8" t="n">
        <v>45747</v>
      </c>
      <c r="L99" s="7">
        <f>COUNTIF(Seguimientos!$A$2:$A$1013,A99)</f>
        <v/>
      </c>
      <c r="M99" s="7">
        <f>SUMPRODUCT(MAX((Seguimientos!$A$2:$A$1013=A99)*(Seguimientos!$H$2:$H$1013&lt;&gt;"")*Seguimientos!$B$2:$B$1013))</f>
        <v/>
      </c>
      <c r="N99" s="8">
        <f>IF(M99=0,"",INDEX(Seguimientos!$F$2:$F$1013,MATCH(A99&amp;"|"&amp;M99,Seguimientos!$K$2:$K$1013,0)))</f>
        <v/>
      </c>
      <c r="O99" s="14">
        <f>IF(M99=0,0,INDEX(Seguimientos!$H$2:$H$1013,MATCH(A99&amp;"|"&amp;M99,Seguimientos!$K$2:$K$1013,0)))</f>
        <v/>
      </c>
      <c r="P99" s="9">
        <f>O99/2</f>
        <v/>
      </c>
      <c r="Q99" s="7">
        <f>INDEX(Escala!$B$2:$B$6,MATCH(O99,Escala!$A$2:$A$6,0))</f>
        <v/>
      </c>
      <c r="R99" s="7">
        <f>IF(O99=2,"Sí","No")</f>
        <v/>
      </c>
      <c r="S99" s="7">
        <f>IF(O99=0,"Sí","No")</f>
        <v/>
      </c>
      <c r="T99" s="7">
        <f>IF(AND(ISNUMBER(K99),O99&lt;2),IF(K99&lt;INDEX('Por sistema'!$D$5:$D$9,MATCH(B99,'Por sistema'!$A$5:$A$9,0)),"Sí","No"),"No")</f>
        <v/>
      </c>
    </row>
    <row r="100">
      <c r="A100" s="7" t="inlineStr">
        <is>
          <t>sga-2024-7-sna17bss</t>
        </is>
      </c>
      <c r="B100" s="7" t="inlineStr">
        <is>
          <t>SGA</t>
        </is>
      </c>
      <c r="C100" s="7" t="inlineStr">
        <is>
          <t>Sistema de Gestión Ambiental</t>
        </is>
      </c>
      <c r="D100" s="7" t="inlineStr">
        <is>
          <t>2024</t>
        </is>
      </c>
      <c r="E100" s="7" t="n">
        <v>7</v>
      </c>
      <c r="F100" s="13" t="inlineStr">
        <is>
          <t>Fortalecimiento con el Proceso de Bienestar Universitario para abarcar la población estudiantil.</t>
        </is>
      </c>
      <c r="G100" s="13" t="inlineStr">
        <is>
          <t>SGA Bienestar institucional</t>
        </is>
      </c>
      <c r="H100" s="13" t="inlineStr">
        <is>
          <t>Gestión Ambiental, Interacción Social y Bienestar</t>
        </is>
      </c>
      <c r="I100" s="13" t="inlineStr">
        <is>
          <t>Cronograma de articulación con Bienestar.</t>
        </is>
      </c>
      <c r="J100" s="13" t="inlineStr">
        <is>
          <t>45838</t>
        </is>
      </c>
      <c r="K100" s="8" t="n">
        <v>45838</v>
      </c>
      <c r="L100" s="7">
        <f>COUNTIF(Seguimientos!$A$2:$A$1013,A100)</f>
        <v/>
      </c>
      <c r="M100" s="7">
        <f>SUMPRODUCT(MAX((Seguimientos!$A$2:$A$1013=A100)*(Seguimientos!$H$2:$H$1013&lt;&gt;"")*Seguimientos!$B$2:$B$1013))</f>
        <v/>
      </c>
      <c r="N100" s="8">
        <f>IF(M100=0,"",INDEX(Seguimientos!$F$2:$F$1013,MATCH(A100&amp;"|"&amp;M100,Seguimientos!$K$2:$K$1013,0)))</f>
        <v/>
      </c>
      <c r="O100" s="14">
        <f>IF(M100=0,0,INDEX(Seguimientos!$H$2:$H$1013,MATCH(A100&amp;"|"&amp;M100,Seguimientos!$K$2:$K$1013,0)))</f>
        <v/>
      </c>
      <c r="P100" s="9">
        <f>O100/2</f>
        <v/>
      </c>
      <c r="Q100" s="7">
        <f>INDEX(Escala!$B$2:$B$6,MATCH(O100,Escala!$A$2:$A$6,0))</f>
        <v/>
      </c>
      <c r="R100" s="7">
        <f>IF(O100=2,"Sí","No")</f>
        <v/>
      </c>
      <c r="S100" s="7">
        <f>IF(O100=0,"Sí","No")</f>
        <v/>
      </c>
      <c r="T100" s="7">
        <f>IF(AND(ISNUMBER(K100),O100&lt;2),IF(K100&lt;INDEX('Por sistema'!$D$5:$D$9,MATCH(B100,'Por sistema'!$A$5:$A$9,0)),"Sí","No"),"No")</f>
        <v/>
      </c>
    </row>
    <row r="101">
      <c r="A101" s="7" t="inlineStr">
        <is>
          <t>sga-2024-7-sn18hcag</t>
        </is>
      </c>
      <c r="B101" s="7" t="inlineStr">
        <is>
          <t>SGA</t>
        </is>
      </c>
      <c r="C101" s="7" t="inlineStr">
        <is>
          <t>Sistema de Gestión Ambiental</t>
        </is>
      </c>
      <c r="D101" s="7" t="inlineStr">
        <is>
          <t>2024</t>
        </is>
      </c>
      <c r="E101" s="7" t="n">
        <v>7</v>
      </c>
      <c r="F101" s="13" t="inlineStr">
        <is>
          <t>Fortalecimiento con el Proceso de Bienestar Universitario para abarcar la población estudiantil.</t>
        </is>
      </c>
      <c r="G101" s="13" t="inlineStr">
        <is>
          <t>SGA Bienestar institucional</t>
        </is>
      </c>
      <c r="H101" s="13" t="inlineStr">
        <is>
          <t>Gestión Ambiental, Interacción Social y Bienestar</t>
        </is>
      </c>
      <c r="I101" s="13" t="inlineStr">
        <is>
          <t>Listas de asistencia, registro fotográfico.</t>
        </is>
      </c>
      <c r="J101" s="13" t="inlineStr">
        <is>
          <t>45930</t>
        </is>
      </c>
      <c r="K101" s="8" t="n">
        <v>45930</v>
      </c>
      <c r="L101" s="7">
        <f>COUNTIF(Seguimientos!$A$2:$A$1013,A101)</f>
        <v/>
      </c>
      <c r="M101" s="7">
        <f>SUMPRODUCT(MAX((Seguimientos!$A$2:$A$1013=A101)*(Seguimientos!$H$2:$H$1013&lt;&gt;"")*Seguimientos!$B$2:$B$1013))</f>
        <v/>
      </c>
      <c r="N101" s="8">
        <f>IF(M101=0,"",INDEX(Seguimientos!$F$2:$F$1013,MATCH(A101&amp;"|"&amp;M101,Seguimientos!$K$2:$K$1013,0)))</f>
        <v/>
      </c>
      <c r="O101" s="14">
        <f>IF(M101=0,0,INDEX(Seguimientos!$H$2:$H$1013,MATCH(A101&amp;"|"&amp;M101,Seguimientos!$K$2:$K$1013,0)))</f>
        <v/>
      </c>
      <c r="P101" s="9">
        <f>O101/2</f>
        <v/>
      </c>
      <c r="Q101" s="7">
        <f>INDEX(Escala!$B$2:$B$6,MATCH(O101,Escala!$A$2:$A$6,0))</f>
        <v/>
      </c>
      <c r="R101" s="7">
        <f>IF(O101=2,"Sí","No")</f>
        <v/>
      </c>
      <c r="S101" s="7">
        <f>IF(O101=0,"Sí","No")</f>
        <v/>
      </c>
      <c r="T101" s="7">
        <f>IF(AND(ISNUMBER(K101),O101&lt;2),IF(K101&lt;INDEX('Por sistema'!$D$5:$D$9,MATCH(B101,'Por sistema'!$A$5:$A$9,0)),"Sí","No"),"No")</f>
        <v/>
      </c>
    </row>
    <row r="102">
      <c r="A102" s="7" t="inlineStr">
        <is>
          <t>sga-2024-7-snhug77z</t>
        </is>
      </c>
      <c r="B102" s="7" t="inlineStr">
        <is>
          <t>SGA</t>
        </is>
      </c>
      <c r="C102" s="7" t="inlineStr">
        <is>
          <t>Sistema de Gestión Ambiental</t>
        </is>
      </c>
      <c r="D102" s="7" t="inlineStr">
        <is>
          <t>2024</t>
        </is>
      </c>
      <c r="E102" s="7" t="n">
        <v>7</v>
      </c>
      <c r="F102" s="13" t="inlineStr">
        <is>
          <t>Fortalecimiento con el Proceso de Bienestar Universitario para abarcar la población estudiantil.</t>
        </is>
      </c>
      <c r="G102" s="13" t="inlineStr">
        <is>
          <t>SGA Bienestar institucional</t>
        </is>
      </c>
      <c r="H102" s="13" t="inlineStr">
        <is>
          <t>Gestión Ambiental, Interacción Social y Bienestar</t>
        </is>
      </c>
      <c r="I102" s="13" t="inlineStr">
        <is>
          <t>Informe resultados de participación.</t>
        </is>
      </c>
      <c r="J102" s="13" t="inlineStr">
        <is>
          <t>46021</t>
        </is>
      </c>
      <c r="K102" s="8" t="n">
        <v>46021</v>
      </c>
      <c r="L102" s="7">
        <f>COUNTIF(Seguimientos!$A$2:$A$1013,A102)</f>
        <v/>
      </c>
      <c r="M102" s="7">
        <f>SUMPRODUCT(MAX((Seguimientos!$A$2:$A$1013=A102)*(Seguimientos!$H$2:$H$1013&lt;&gt;"")*Seguimientos!$B$2:$B$1013))</f>
        <v/>
      </c>
      <c r="N102" s="8">
        <f>IF(M102=0,"",INDEX(Seguimientos!$F$2:$F$1013,MATCH(A102&amp;"|"&amp;M102,Seguimientos!$K$2:$K$1013,0)))</f>
        <v/>
      </c>
      <c r="O102" s="14">
        <f>IF(M102=0,0,INDEX(Seguimientos!$H$2:$H$1013,MATCH(A102&amp;"|"&amp;M102,Seguimientos!$K$2:$K$1013,0)))</f>
        <v/>
      </c>
      <c r="P102" s="9">
        <f>O102/2</f>
        <v/>
      </c>
      <c r="Q102" s="7">
        <f>INDEX(Escala!$B$2:$B$6,MATCH(O102,Escala!$A$2:$A$6,0))</f>
        <v/>
      </c>
      <c r="R102" s="7">
        <f>IF(O102=2,"Sí","No")</f>
        <v/>
      </c>
      <c r="S102" s="7">
        <f>IF(O102=0,"Sí","No")</f>
        <v/>
      </c>
      <c r="T102" s="7">
        <f>IF(AND(ISNUMBER(K102),O102&lt;2),IF(K102&lt;INDEX('Por sistema'!$D$5:$D$9,MATCH(B102,'Por sistema'!$A$5:$A$9,0)),"Sí","No"),"No")</f>
        <v/>
      </c>
    </row>
    <row r="103">
      <c r="A103" s="7" t="inlineStr">
        <is>
          <t>sga-2024-8</t>
        </is>
      </c>
      <c r="B103" s="7" t="inlineStr">
        <is>
          <t>SGA</t>
        </is>
      </c>
      <c r="C103" s="7" t="inlineStr">
        <is>
          <t>Sistema de Gestión Ambiental</t>
        </is>
      </c>
      <c r="D103" s="7" t="inlineStr">
        <is>
          <t>2024</t>
        </is>
      </c>
      <c r="E103" s="7" t="n">
        <v>8</v>
      </c>
      <c r="F103" s="13" t="inlineStr">
        <is>
          <t>Formación y talleres en Percepción ambiental y Cambio Climático.</t>
        </is>
      </c>
      <c r="G103" s="13" t="inlineStr">
        <is>
          <t>SGA</t>
        </is>
      </c>
      <c r="H103" s="13" t="inlineStr">
        <is>
          <t>Gestión Ambiental</t>
        </is>
      </c>
      <c r="I103" s="13" t="inlineStr">
        <is>
          <t>Informe / Matriz de id necesidades de formación.</t>
        </is>
      </c>
      <c r="J103" s="13" t="inlineStr">
        <is>
          <t>45747</t>
        </is>
      </c>
      <c r="K103" s="8" t="n">
        <v>45747</v>
      </c>
      <c r="L103" s="7">
        <f>COUNTIF(Seguimientos!$A$2:$A$1013,A103)</f>
        <v/>
      </c>
      <c r="M103" s="7">
        <f>SUMPRODUCT(MAX((Seguimientos!$A$2:$A$1013=A103)*(Seguimientos!$H$2:$H$1013&lt;&gt;"")*Seguimientos!$B$2:$B$1013))</f>
        <v/>
      </c>
      <c r="N103" s="8">
        <f>IF(M103=0,"",INDEX(Seguimientos!$F$2:$F$1013,MATCH(A103&amp;"|"&amp;M103,Seguimientos!$K$2:$K$1013,0)))</f>
        <v/>
      </c>
      <c r="O103" s="14">
        <f>IF(M103=0,0,INDEX(Seguimientos!$H$2:$H$1013,MATCH(A103&amp;"|"&amp;M103,Seguimientos!$K$2:$K$1013,0)))</f>
        <v/>
      </c>
      <c r="P103" s="9">
        <f>O103/2</f>
        <v/>
      </c>
      <c r="Q103" s="7">
        <f>INDEX(Escala!$B$2:$B$6,MATCH(O103,Escala!$A$2:$A$6,0))</f>
        <v/>
      </c>
      <c r="R103" s="7">
        <f>IF(O103=2,"Sí","No")</f>
        <v/>
      </c>
      <c r="S103" s="7">
        <f>IF(O103=0,"Sí","No")</f>
        <v/>
      </c>
      <c r="T103" s="7">
        <f>IF(AND(ISNUMBER(K103),O103&lt;2),IF(K103&lt;INDEX('Por sistema'!$D$5:$D$9,MATCH(B103,'Por sistema'!$A$5:$A$9,0)),"Sí","No"),"No")</f>
        <v/>
      </c>
    </row>
    <row r="104">
      <c r="A104" s="7" t="inlineStr">
        <is>
          <t>sga-2024-8-sn1nvofr</t>
        </is>
      </c>
      <c r="B104" s="7" t="inlineStr">
        <is>
          <t>SGA</t>
        </is>
      </c>
      <c r="C104" s="7" t="inlineStr">
        <is>
          <t>Sistema de Gestión Ambiental</t>
        </is>
      </c>
      <c r="D104" s="7" t="inlineStr">
        <is>
          <t>2024</t>
        </is>
      </c>
      <c r="E104" s="7" t="n">
        <v>8</v>
      </c>
      <c r="F104" s="13" t="inlineStr">
        <is>
          <t>Formación y talleres en Percepción ambiental y Cambio Climático.</t>
        </is>
      </c>
      <c r="G104" s="13" t="inlineStr">
        <is>
          <t>SGA</t>
        </is>
      </c>
      <c r="H104" s="13" t="inlineStr">
        <is>
          <t>Gestión Ambiental</t>
        </is>
      </c>
      <c r="I104" s="13" t="inlineStr">
        <is>
          <t>Talleres ambientales.</t>
        </is>
      </c>
      <c r="J104" s="13" t="inlineStr">
        <is>
          <t>45838</t>
        </is>
      </c>
      <c r="K104" s="8" t="n">
        <v>45838</v>
      </c>
      <c r="L104" s="7">
        <f>COUNTIF(Seguimientos!$A$2:$A$1013,A104)</f>
        <v/>
      </c>
      <c r="M104" s="7">
        <f>SUMPRODUCT(MAX((Seguimientos!$A$2:$A$1013=A104)*(Seguimientos!$H$2:$H$1013&lt;&gt;"")*Seguimientos!$B$2:$B$1013))</f>
        <v/>
      </c>
      <c r="N104" s="8">
        <f>IF(M104=0,"",INDEX(Seguimientos!$F$2:$F$1013,MATCH(A104&amp;"|"&amp;M104,Seguimientos!$K$2:$K$1013,0)))</f>
        <v/>
      </c>
      <c r="O104" s="14">
        <f>IF(M104=0,0,INDEX(Seguimientos!$H$2:$H$1013,MATCH(A104&amp;"|"&amp;M104,Seguimientos!$K$2:$K$1013,0)))</f>
        <v/>
      </c>
      <c r="P104" s="9">
        <f>O104/2</f>
        <v/>
      </c>
      <c r="Q104" s="7">
        <f>INDEX(Escala!$B$2:$B$6,MATCH(O104,Escala!$A$2:$A$6,0))</f>
        <v/>
      </c>
      <c r="R104" s="7">
        <f>IF(O104=2,"Sí","No")</f>
        <v/>
      </c>
      <c r="S104" s="7">
        <f>IF(O104=0,"Sí","No")</f>
        <v/>
      </c>
      <c r="T104" s="7">
        <f>IF(AND(ISNUMBER(K104),O104&lt;2),IF(K104&lt;INDEX('Por sistema'!$D$5:$D$9,MATCH(B104,'Por sistema'!$A$5:$A$9,0)),"Sí","No"),"No")</f>
        <v/>
      </c>
    </row>
    <row r="105">
      <c r="A105" s="7" t="inlineStr">
        <is>
          <t>sga-2024-8-snf8z6x0</t>
        </is>
      </c>
      <c r="B105" s="7" t="inlineStr">
        <is>
          <t>SGA</t>
        </is>
      </c>
      <c r="C105" s="7" t="inlineStr">
        <is>
          <t>Sistema de Gestión Ambiental</t>
        </is>
      </c>
      <c r="D105" s="7" t="inlineStr">
        <is>
          <t>2024</t>
        </is>
      </c>
      <c r="E105" s="7" t="n">
        <v>8</v>
      </c>
      <c r="F105" s="13" t="inlineStr">
        <is>
          <t>Formación y talleres en Percepción ambiental y Cambio Climático.</t>
        </is>
      </c>
      <c r="G105" s="13" t="inlineStr">
        <is>
          <t>SGA</t>
        </is>
      </c>
      <c r="H105" s="13" t="inlineStr">
        <is>
          <t>Gestión Ambiental</t>
        </is>
      </c>
      <c r="I105" s="13" t="inlineStr">
        <is>
          <t>Listas de asistencia, registro fotográfico.</t>
        </is>
      </c>
      <c r="J105" s="13" t="inlineStr">
        <is>
          <t>45930</t>
        </is>
      </c>
      <c r="K105" s="8" t="n">
        <v>45930</v>
      </c>
      <c r="L105" s="7">
        <f>COUNTIF(Seguimientos!$A$2:$A$1013,A105)</f>
        <v/>
      </c>
      <c r="M105" s="7">
        <f>SUMPRODUCT(MAX((Seguimientos!$A$2:$A$1013=A105)*(Seguimientos!$H$2:$H$1013&lt;&gt;"")*Seguimientos!$B$2:$B$1013))</f>
        <v/>
      </c>
      <c r="N105" s="8">
        <f>IF(M105=0,"",INDEX(Seguimientos!$F$2:$F$1013,MATCH(A105&amp;"|"&amp;M105,Seguimientos!$K$2:$K$1013,0)))</f>
        <v/>
      </c>
      <c r="O105" s="14">
        <f>IF(M105=0,0,INDEX(Seguimientos!$H$2:$H$1013,MATCH(A105&amp;"|"&amp;M105,Seguimientos!$K$2:$K$1013,0)))</f>
        <v/>
      </c>
      <c r="P105" s="9">
        <f>O105/2</f>
        <v/>
      </c>
      <c r="Q105" s="7">
        <f>INDEX(Escala!$B$2:$B$6,MATCH(O105,Escala!$A$2:$A$6,0))</f>
        <v/>
      </c>
      <c r="R105" s="7">
        <f>IF(O105=2,"Sí","No")</f>
        <v/>
      </c>
      <c r="S105" s="7">
        <f>IF(O105=0,"Sí","No")</f>
        <v/>
      </c>
      <c r="T105" s="7">
        <f>IF(AND(ISNUMBER(K105),O105&lt;2),IF(K105&lt;INDEX('Por sistema'!$D$5:$D$9,MATCH(B105,'Por sistema'!$A$5:$A$9,0)),"Sí","No"),"No")</f>
        <v/>
      </c>
    </row>
    <row r="106">
      <c r="A106" s="7" t="inlineStr">
        <is>
          <t>sga-2024-8-sniqbhat</t>
        </is>
      </c>
      <c r="B106" s="7" t="inlineStr">
        <is>
          <t>SGA</t>
        </is>
      </c>
      <c r="C106" s="7" t="inlineStr">
        <is>
          <t>Sistema de Gestión Ambiental</t>
        </is>
      </c>
      <c r="D106" s="7" t="inlineStr">
        <is>
          <t>2024</t>
        </is>
      </c>
      <c r="E106" s="7" t="n">
        <v>8</v>
      </c>
      <c r="F106" s="13" t="inlineStr">
        <is>
          <t>Formación y talleres en Percepción ambiental y Cambio Climático.</t>
        </is>
      </c>
      <c r="G106" s="13" t="inlineStr">
        <is>
          <t>SGA</t>
        </is>
      </c>
      <c r="H106" s="13" t="inlineStr">
        <is>
          <t>Gestión Ambiental</t>
        </is>
      </c>
      <c r="I106" s="13" t="inlineStr">
        <is>
          <t>Informe resultados de evaluación de actividad.</t>
        </is>
      </c>
      <c r="J106" s="13" t="inlineStr">
        <is>
          <t>46021</t>
        </is>
      </c>
      <c r="K106" s="8" t="n">
        <v>46021</v>
      </c>
      <c r="L106" s="7">
        <f>COUNTIF(Seguimientos!$A$2:$A$1013,A106)</f>
        <v/>
      </c>
      <c r="M106" s="7">
        <f>SUMPRODUCT(MAX((Seguimientos!$A$2:$A$1013=A106)*(Seguimientos!$H$2:$H$1013&lt;&gt;"")*Seguimientos!$B$2:$B$1013))</f>
        <v/>
      </c>
      <c r="N106" s="8">
        <f>IF(M106=0,"",INDEX(Seguimientos!$F$2:$F$1013,MATCH(A106&amp;"|"&amp;M106,Seguimientos!$K$2:$K$1013,0)))</f>
        <v/>
      </c>
      <c r="O106" s="14">
        <f>IF(M106=0,0,INDEX(Seguimientos!$H$2:$H$1013,MATCH(A106&amp;"|"&amp;M106,Seguimientos!$K$2:$K$1013,0)))</f>
        <v/>
      </c>
      <c r="P106" s="9">
        <f>O106/2</f>
        <v/>
      </c>
      <c r="Q106" s="7">
        <f>INDEX(Escala!$B$2:$B$6,MATCH(O106,Escala!$A$2:$A$6,0))</f>
        <v/>
      </c>
      <c r="R106" s="7">
        <f>IF(O106=2,"Sí","No")</f>
        <v/>
      </c>
      <c r="S106" s="7">
        <f>IF(O106=0,"Sí","No")</f>
        <v/>
      </c>
      <c r="T106" s="7">
        <f>IF(AND(ISNUMBER(K106),O106&lt;2),IF(K106&lt;INDEX('Por sistema'!$D$5:$D$9,MATCH(B106,'Por sistema'!$A$5:$A$9,0)),"Sí","No"),"No")</f>
        <v/>
      </c>
    </row>
    <row r="107">
      <c r="A107" s="7" t="inlineStr">
        <is>
          <t>sga-2024-9</t>
        </is>
      </c>
      <c r="B107" s="7" t="inlineStr">
        <is>
          <t>SGA</t>
        </is>
      </c>
      <c r="C107" s="7" t="inlineStr">
        <is>
          <t>Sistema de Gestión Ambiental</t>
        </is>
      </c>
      <c r="D107" s="7" t="inlineStr">
        <is>
          <t>2024</t>
        </is>
      </c>
      <c r="E107" s="7" t="n">
        <v>9</v>
      </c>
      <c r="F107" s="13" t="inlineStr">
        <is>
          <t>Fortalecimiento con el proceso de Talento Humano para mejorar la cobertura.</t>
        </is>
      </c>
      <c r="G107" s="13" t="inlineStr">
        <is>
          <t>SGA Talento Humano</t>
        </is>
      </c>
      <c r="H107" s="13" t="inlineStr">
        <is>
          <t>Talento Humano, Gestión Ambiental</t>
        </is>
      </c>
      <c r="I107" s="13" t="inlineStr">
        <is>
          <t>Informe / Matriz de id necesidades de formación.</t>
        </is>
      </c>
      <c r="J107" s="13" t="inlineStr">
        <is>
          <t>45747</t>
        </is>
      </c>
      <c r="K107" s="8" t="n">
        <v>45747</v>
      </c>
      <c r="L107" s="7">
        <f>COUNTIF(Seguimientos!$A$2:$A$1013,A107)</f>
        <v/>
      </c>
      <c r="M107" s="7">
        <f>SUMPRODUCT(MAX((Seguimientos!$A$2:$A$1013=A107)*(Seguimientos!$H$2:$H$1013&lt;&gt;"")*Seguimientos!$B$2:$B$1013))</f>
        <v/>
      </c>
      <c r="N107" s="8">
        <f>IF(M107=0,"",INDEX(Seguimientos!$F$2:$F$1013,MATCH(A107&amp;"|"&amp;M107,Seguimientos!$K$2:$K$1013,0)))</f>
        <v/>
      </c>
      <c r="O107" s="14">
        <f>IF(M107=0,0,INDEX(Seguimientos!$H$2:$H$1013,MATCH(A107&amp;"|"&amp;M107,Seguimientos!$K$2:$K$1013,0)))</f>
        <v/>
      </c>
      <c r="P107" s="9">
        <f>O107/2</f>
        <v/>
      </c>
      <c r="Q107" s="7">
        <f>INDEX(Escala!$B$2:$B$6,MATCH(O107,Escala!$A$2:$A$6,0))</f>
        <v/>
      </c>
      <c r="R107" s="7">
        <f>IF(O107=2,"Sí","No")</f>
        <v/>
      </c>
      <c r="S107" s="7">
        <f>IF(O107=0,"Sí","No")</f>
        <v/>
      </c>
      <c r="T107" s="7">
        <f>IF(AND(ISNUMBER(K107),O107&lt;2),IF(K107&lt;INDEX('Por sistema'!$D$5:$D$9,MATCH(B107,'Por sistema'!$A$5:$A$9,0)),"Sí","No"),"No")</f>
        <v/>
      </c>
    </row>
    <row r="108">
      <c r="A108" s="7" t="inlineStr">
        <is>
          <t>sga-2024-9-sn7dluus</t>
        </is>
      </c>
      <c r="B108" s="7" t="inlineStr">
        <is>
          <t>SGA</t>
        </is>
      </c>
      <c r="C108" s="7" t="inlineStr">
        <is>
          <t>Sistema de Gestión Ambiental</t>
        </is>
      </c>
      <c r="D108" s="7" t="inlineStr">
        <is>
          <t>2024</t>
        </is>
      </c>
      <c r="E108" s="7" t="n">
        <v>9</v>
      </c>
      <c r="F108" s="13" t="inlineStr">
        <is>
          <t>Fortalecimiento con el proceso de Talento Humano para mejorar la cobertura.</t>
        </is>
      </c>
      <c r="G108" s="13" t="inlineStr">
        <is>
          <t>SGA Talento Humano</t>
        </is>
      </c>
      <c r="H108" s="13" t="inlineStr">
        <is>
          <t>Talento Humano, Gestión Ambiental</t>
        </is>
      </c>
      <c r="I108" s="13" t="inlineStr">
        <is>
          <t>Cronograma de formación y capacitación.</t>
        </is>
      </c>
      <c r="J108" s="13" t="inlineStr">
        <is>
          <t>45838</t>
        </is>
      </c>
      <c r="K108" s="8" t="n">
        <v>45838</v>
      </c>
      <c r="L108" s="7">
        <f>COUNTIF(Seguimientos!$A$2:$A$1013,A108)</f>
        <v/>
      </c>
      <c r="M108" s="7">
        <f>SUMPRODUCT(MAX((Seguimientos!$A$2:$A$1013=A108)*(Seguimientos!$H$2:$H$1013&lt;&gt;"")*Seguimientos!$B$2:$B$1013))</f>
        <v/>
      </c>
      <c r="N108" s="8">
        <f>IF(M108=0,"",INDEX(Seguimientos!$F$2:$F$1013,MATCH(A108&amp;"|"&amp;M108,Seguimientos!$K$2:$K$1013,0)))</f>
        <v/>
      </c>
      <c r="O108" s="14">
        <f>IF(M108=0,0,INDEX(Seguimientos!$H$2:$H$1013,MATCH(A108&amp;"|"&amp;M108,Seguimientos!$K$2:$K$1013,0)))</f>
        <v/>
      </c>
      <c r="P108" s="9">
        <f>O108/2</f>
        <v/>
      </c>
      <c r="Q108" s="7">
        <f>INDEX(Escala!$B$2:$B$6,MATCH(O108,Escala!$A$2:$A$6,0))</f>
        <v/>
      </c>
      <c r="R108" s="7">
        <f>IF(O108=2,"Sí","No")</f>
        <v/>
      </c>
      <c r="S108" s="7">
        <f>IF(O108=0,"Sí","No")</f>
        <v/>
      </c>
      <c r="T108" s="7">
        <f>IF(AND(ISNUMBER(K108),O108&lt;2),IF(K108&lt;INDEX('Por sistema'!$D$5:$D$9,MATCH(B108,'Por sistema'!$A$5:$A$9,0)),"Sí","No"),"No")</f>
        <v/>
      </c>
    </row>
    <row r="109">
      <c r="A109" s="7" t="inlineStr">
        <is>
          <t>sga-2024-9-sn12enx0</t>
        </is>
      </c>
      <c r="B109" s="7" t="inlineStr">
        <is>
          <t>SGA</t>
        </is>
      </c>
      <c r="C109" s="7" t="inlineStr">
        <is>
          <t>Sistema de Gestión Ambiental</t>
        </is>
      </c>
      <c r="D109" s="7" t="inlineStr">
        <is>
          <t>2024</t>
        </is>
      </c>
      <c r="E109" s="7" t="n">
        <v>9</v>
      </c>
      <c r="F109" s="13" t="inlineStr">
        <is>
          <t>Fortalecimiento con el proceso de Talento Humano para mejorar la cobertura.</t>
        </is>
      </c>
      <c r="G109" s="13" t="inlineStr">
        <is>
          <t>SGA Talento Humano</t>
        </is>
      </c>
      <c r="H109" s="13" t="inlineStr">
        <is>
          <t>Talento Humano, Gestión Ambiental</t>
        </is>
      </c>
      <c r="I109" s="13" t="inlineStr">
        <is>
          <t>Listas de asistencia, registro fotográfico.</t>
        </is>
      </c>
      <c r="J109" s="13" t="inlineStr">
        <is>
          <t>45930</t>
        </is>
      </c>
      <c r="K109" s="8" t="n">
        <v>45930</v>
      </c>
      <c r="L109" s="7">
        <f>COUNTIF(Seguimientos!$A$2:$A$1013,A109)</f>
        <v/>
      </c>
      <c r="M109" s="7">
        <f>SUMPRODUCT(MAX((Seguimientos!$A$2:$A$1013=A109)*(Seguimientos!$H$2:$H$1013&lt;&gt;"")*Seguimientos!$B$2:$B$1013))</f>
        <v/>
      </c>
      <c r="N109" s="8">
        <f>IF(M109=0,"",INDEX(Seguimientos!$F$2:$F$1013,MATCH(A109&amp;"|"&amp;M109,Seguimientos!$K$2:$K$1013,0)))</f>
        <v/>
      </c>
      <c r="O109" s="14">
        <f>IF(M109=0,0,INDEX(Seguimientos!$H$2:$H$1013,MATCH(A109&amp;"|"&amp;M109,Seguimientos!$K$2:$K$1013,0)))</f>
        <v/>
      </c>
      <c r="P109" s="9">
        <f>O109/2</f>
        <v/>
      </c>
      <c r="Q109" s="7">
        <f>INDEX(Escala!$B$2:$B$6,MATCH(O109,Escala!$A$2:$A$6,0))</f>
        <v/>
      </c>
      <c r="R109" s="7">
        <f>IF(O109=2,"Sí","No")</f>
        <v/>
      </c>
      <c r="S109" s="7">
        <f>IF(O109=0,"Sí","No")</f>
        <v/>
      </c>
      <c r="T109" s="7">
        <f>IF(AND(ISNUMBER(K109),O109&lt;2),IF(K109&lt;INDEX('Por sistema'!$D$5:$D$9,MATCH(B109,'Por sistema'!$A$5:$A$9,0)),"Sí","No"),"No")</f>
        <v/>
      </c>
    </row>
    <row r="110">
      <c r="A110" s="7" t="inlineStr">
        <is>
          <t>sga-2024-9-snym5jj</t>
        </is>
      </c>
      <c r="B110" s="7" t="inlineStr">
        <is>
          <t>SGA</t>
        </is>
      </c>
      <c r="C110" s="7" t="inlineStr">
        <is>
          <t>Sistema de Gestión Ambiental</t>
        </is>
      </c>
      <c r="D110" s="7" t="inlineStr">
        <is>
          <t>2024</t>
        </is>
      </c>
      <c r="E110" s="7" t="n">
        <v>9</v>
      </c>
      <c r="F110" s="13" t="inlineStr">
        <is>
          <t>Fortalecimiento con el proceso de Talento Humano para mejorar la cobertura.</t>
        </is>
      </c>
      <c r="G110" s="13" t="inlineStr">
        <is>
          <t>SGA Talento Humano</t>
        </is>
      </c>
      <c r="H110" s="13" t="inlineStr">
        <is>
          <t>Talento Humano, Gestión Ambiental</t>
        </is>
      </c>
      <c r="I110" s="13" t="inlineStr">
        <is>
          <t>Informe resultados de eficiencia de actividad.</t>
        </is>
      </c>
      <c r="J110" s="13" t="inlineStr">
        <is>
          <t>46021</t>
        </is>
      </c>
      <c r="K110" s="8" t="n">
        <v>46021</v>
      </c>
      <c r="L110" s="7">
        <f>COUNTIF(Seguimientos!$A$2:$A$1013,A110)</f>
        <v/>
      </c>
      <c r="M110" s="7">
        <f>SUMPRODUCT(MAX((Seguimientos!$A$2:$A$1013=A110)*(Seguimientos!$H$2:$H$1013&lt;&gt;"")*Seguimientos!$B$2:$B$1013))</f>
        <v/>
      </c>
      <c r="N110" s="8">
        <f>IF(M110=0,"",INDEX(Seguimientos!$F$2:$F$1013,MATCH(A110&amp;"|"&amp;M110,Seguimientos!$K$2:$K$1013,0)))</f>
        <v/>
      </c>
      <c r="O110" s="14">
        <f>IF(M110=0,0,INDEX(Seguimientos!$H$2:$H$1013,MATCH(A110&amp;"|"&amp;M110,Seguimientos!$K$2:$K$1013,0)))</f>
        <v/>
      </c>
      <c r="P110" s="9">
        <f>O110/2</f>
        <v/>
      </c>
      <c r="Q110" s="7">
        <f>INDEX(Escala!$B$2:$B$6,MATCH(O110,Escala!$A$2:$A$6,0))</f>
        <v/>
      </c>
      <c r="R110" s="7">
        <f>IF(O110=2,"Sí","No")</f>
        <v/>
      </c>
      <c r="S110" s="7">
        <f>IF(O110=0,"Sí","No")</f>
        <v/>
      </c>
      <c r="T110" s="7">
        <f>IF(AND(ISNUMBER(K110),O110&lt;2),IF(K110&lt;INDEX('Por sistema'!$D$5:$D$9,MATCH(B110,'Por sistema'!$A$5:$A$9,0)),"Sí","No"),"No")</f>
        <v/>
      </c>
    </row>
    <row r="111">
      <c r="A111" s="7" t="inlineStr">
        <is>
          <t>sga-2024-10</t>
        </is>
      </c>
      <c r="B111" s="7" t="inlineStr">
        <is>
          <t>SGA</t>
        </is>
      </c>
      <c r="C111" s="7" t="inlineStr">
        <is>
          <t>Sistema de Gestión Ambiental</t>
        </is>
      </c>
      <c r="D111" s="7" t="inlineStr">
        <is>
          <t>2024</t>
        </is>
      </c>
      <c r="E111" s="7" t="n">
        <v>10</v>
      </c>
      <c r="F111" s="13" t="inlineStr">
        <is>
          <t>Aprobación de recursos necesarios para implementar y monitorear los lineamientos del Sistema de Gestión Ambiental según la Enmienda de Cambio Climático en la comunidad Universitaria.</t>
        </is>
      </c>
      <c r="G111" s="13" t="inlineStr">
        <is>
          <t>SGA</t>
        </is>
      </c>
      <c r="H111" s="13" t="inlineStr">
        <is>
          <t>Gestión Ambiental</t>
        </is>
      </c>
      <c r="I111" s="13" t="inlineStr">
        <is>
          <t>Informe de ejecución de recursos de inversión.</t>
        </is>
      </c>
      <c r="J111" s="13" t="inlineStr">
        <is>
          <t>45991</t>
        </is>
      </c>
      <c r="K111" s="8" t="n">
        <v>45991</v>
      </c>
      <c r="L111" s="7">
        <f>COUNTIF(Seguimientos!$A$2:$A$1013,A111)</f>
        <v/>
      </c>
      <c r="M111" s="7">
        <f>SUMPRODUCT(MAX((Seguimientos!$A$2:$A$1013=A111)*(Seguimientos!$H$2:$H$1013&lt;&gt;"")*Seguimientos!$B$2:$B$1013))</f>
        <v/>
      </c>
      <c r="N111" s="8">
        <f>IF(M111=0,"",INDEX(Seguimientos!$F$2:$F$1013,MATCH(A111&amp;"|"&amp;M111,Seguimientos!$K$2:$K$1013,0)))</f>
        <v/>
      </c>
      <c r="O111" s="14">
        <f>IF(M111=0,0,INDEX(Seguimientos!$H$2:$H$1013,MATCH(A111&amp;"|"&amp;M111,Seguimientos!$K$2:$K$1013,0)))</f>
        <v/>
      </c>
      <c r="P111" s="9">
        <f>O111/2</f>
        <v/>
      </c>
      <c r="Q111" s="7">
        <f>INDEX(Escala!$B$2:$B$6,MATCH(O111,Escala!$A$2:$A$6,0))</f>
        <v/>
      </c>
      <c r="R111" s="7">
        <f>IF(O111=2,"Sí","No")</f>
        <v/>
      </c>
      <c r="S111" s="7">
        <f>IF(O111=0,"Sí","No")</f>
        <v/>
      </c>
      <c r="T111" s="7">
        <f>IF(AND(ISNUMBER(K111),O111&lt;2),IF(K111&lt;INDEX('Por sistema'!$D$5:$D$9,MATCH(B111,'Por sistema'!$A$5:$A$9,0)),"Sí","No"),"No")</f>
        <v/>
      </c>
    </row>
    <row r="112">
      <c r="A112" s="7" t="inlineStr">
        <is>
          <t>sga-2025-1</t>
        </is>
      </c>
      <c r="B112" s="7" t="inlineStr">
        <is>
          <t>SGA</t>
        </is>
      </c>
      <c r="C112" s="7" t="inlineStr">
        <is>
          <t>Sistema de Gestión Ambiental</t>
        </is>
      </c>
      <c r="D112" s="7" t="inlineStr">
        <is>
          <t>2025</t>
        </is>
      </c>
      <c r="E112" s="7" t="n">
        <v>1</v>
      </c>
      <c r="F112" s="13" t="inlineStr">
        <is>
          <t>Incorporar los resultados del SGA en el PEI y en los planes de acción</t>
        </is>
      </c>
      <c r="G112" s="13" t="inlineStr">
        <is>
          <t>Planeación Institucional, Alta Dirección</t>
        </is>
      </c>
      <c r="H112" s="13" t="inlineStr">
        <is>
          <t>Alta Dirección, Planeación Institucional</t>
        </is>
      </c>
      <c r="I112" s="13" t="inlineStr">
        <is>
          <t>Documento de articulación estratégica SGA–PEI y Planes de Acción</t>
        </is>
      </c>
      <c r="J112" s="13" t="inlineStr">
        <is>
          <t>30/08/2026</t>
        </is>
      </c>
      <c r="K112" s="8" t="n">
        <v>46264</v>
      </c>
      <c r="L112" s="7">
        <f>COUNTIF(Seguimientos!$A$2:$A$1013,A112)</f>
        <v/>
      </c>
      <c r="M112" s="7">
        <f>SUMPRODUCT(MAX((Seguimientos!$A$2:$A$1013=A112)*(Seguimientos!$H$2:$H$1013&lt;&gt;"")*Seguimientos!$B$2:$B$1013))</f>
        <v/>
      </c>
      <c r="N112" s="8">
        <f>IF(M112=0,"",INDEX(Seguimientos!$F$2:$F$1013,MATCH(A112&amp;"|"&amp;M112,Seguimientos!$K$2:$K$1013,0)))</f>
        <v/>
      </c>
      <c r="O112" s="14">
        <f>IF(M112=0,0,INDEX(Seguimientos!$H$2:$H$1013,MATCH(A112&amp;"|"&amp;M112,Seguimientos!$K$2:$K$1013,0)))</f>
        <v/>
      </c>
      <c r="P112" s="9">
        <f>O112/2</f>
        <v/>
      </c>
      <c r="Q112" s="7">
        <f>INDEX(Escala!$B$2:$B$6,MATCH(O112,Escala!$A$2:$A$6,0))</f>
        <v/>
      </c>
      <c r="R112" s="7">
        <f>IF(O112=2,"Sí","No")</f>
        <v/>
      </c>
      <c r="S112" s="7">
        <f>IF(O112=0,"Sí","No")</f>
        <v/>
      </c>
      <c r="T112" s="7">
        <f>IF(AND(ISNUMBER(K112),O112&lt;2),IF(K112&lt;INDEX('Por sistema'!$D$5:$D$9,MATCH(B112,'Por sistema'!$A$5:$A$9,0)),"Sí","No"),"No")</f>
        <v/>
      </c>
    </row>
    <row r="113">
      <c r="A113" s="7" t="inlineStr">
        <is>
          <t>sga-2025-2</t>
        </is>
      </c>
      <c r="B113" s="7" t="inlineStr">
        <is>
          <t>SGA</t>
        </is>
      </c>
      <c r="C113" s="7" t="inlineStr">
        <is>
          <t>Sistema de Gestión Ambiental</t>
        </is>
      </c>
      <c r="D113" s="7" t="inlineStr">
        <is>
          <t>2025</t>
        </is>
      </c>
      <c r="E113" s="7" t="n">
        <v>2</v>
      </c>
      <c r="F113" s="13" t="inlineStr">
        <is>
          <t>Implementar tablero de control para el seguimiento digital del SGA</t>
        </is>
      </c>
      <c r="G113" s="13" t="inlineStr">
        <is>
          <t>Planeación Institucional, Gobierno de datos, SGA</t>
        </is>
      </c>
      <c r="H113" s="13" t="inlineStr">
        <is>
          <t>Planeación Institucional, Gestión Ambiental, Gobierno de Datos</t>
        </is>
      </c>
      <c r="I113" s="13" t="inlineStr">
        <is>
          <t>Tablero de control digital de indicadores del SGA</t>
        </is>
      </c>
      <c r="J113" s="13" t="inlineStr">
        <is>
          <t>30/06/2026</t>
        </is>
      </c>
      <c r="K113" s="8" t="n">
        <v>46203</v>
      </c>
      <c r="L113" s="7">
        <f>COUNTIF(Seguimientos!$A$2:$A$1013,A113)</f>
        <v/>
      </c>
      <c r="M113" s="7">
        <f>SUMPRODUCT(MAX((Seguimientos!$A$2:$A$1013=A113)*(Seguimientos!$H$2:$H$1013&lt;&gt;"")*Seguimientos!$B$2:$B$1013))</f>
        <v/>
      </c>
      <c r="N113" s="8">
        <f>IF(M113=0,"",INDEX(Seguimientos!$F$2:$F$1013,MATCH(A113&amp;"|"&amp;M113,Seguimientos!$K$2:$K$1013,0)))</f>
        <v/>
      </c>
      <c r="O113" s="14">
        <f>IF(M113=0,0,INDEX(Seguimientos!$H$2:$H$1013,MATCH(A113&amp;"|"&amp;M113,Seguimientos!$K$2:$K$1013,0)))</f>
        <v/>
      </c>
      <c r="P113" s="9">
        <f>O113/2</f>
        <v/>
      </c>
      <c r="Q113" s="7">
        <f>INDEX(Escala!$B$2:$B$6,MATCH(O113,Escala!$A$2:$A$6,0))</f>
        <v/>
      </c>
      <c r="R113" s="7">
        <f>IF(O113=2,"Sí","No")</f>
        <v/>
      </c>
      <c r="S113" s="7">
        <f>IF(O113=0,"Sí","No")</f>
        <v/>
      </c>
      <c r="T113" s="7">
        <f>IF(AND(ISNUMBER(K113),O113&lt;2),IF(K113&lt;INDEX('Por sistema'!$D$5:$D$9,MATCH(B113,'Por sistema'!$A$5:$A$9,0)),"Sí","No"),"No")</f>
        <v/>
      </c>
    </row>
    <row r="114">
      <c r="A114" s="7" t="inlineStr">
        <is>
          <t>sga-2025-3</t>
        </is>
      </c>
      <c r="B114" s="7" t="inlineStr">
        <is>
          <t>SGA</t>
        </is>
      </c>
      <c r="C114" s="7" t="inlineStr">
        <is>
          <t>Sistema de Gestión Ambiental</t>
        </is>
      </c>
      <c r="D114" s="7" t="inlineStr">
        <is>
          <t>2025</t>
        </is>
      </c>
      <c r="E114" s="7" t="n">
        <v>3</v>
      </c>
      <c r="F114" s="13" t="inlineStr">
        <is>
          <t>Fortalecer la articulación del SGA con procesos institucionales clave</t>
        </is>
      </c>
      <c r="G114" s="13" t="inlineStr">
        <is>
          <t>Equipo SGA</t>
        </is>
      </c>
      <c r="H114" s="13" t="inlineStr">
        <is>
          <t>Gestión Ambiental</t>
        </is>
      </c>
      <c r="I114" s="13" t="inlineStr">
        <is>
          <t>Matriz de AIA de cada uno de los proceso</t>
        </is>
      </c>
      <c r="J114" s="13" t="inlineStr">
        <is>
          <t>30/04/2026</t>
        </is>
      </c>
      <c r="K114" s="8" t="n">
        <v>46142</v>
      </c>
      <c r="L114" s="7">
        <f>COUNTIF(Seguimientos!$A$2:$A$1013,A114)</f>
        <v/>
      </c>
      <c r="M114" s="7">
        <f>SUMPRODUCT(MAX((Seguimientos!$A$2:$A$1013=A114)*(Seguimientos!$H$2:$H$1013&lt;&gt;"")*Seguimientos!$B$2:$B$1013))</f>
        <v/>
      </c>
      <c r="N114" s="8">
        <f>IF(M114=0,"",INDEX(Seguimientos!$F$2:$F$1013,MATCH(A114&amp;"|"&amp;M114,Seguimientos!$K$2:$K$1013,0)))</f>
        <v/>
      </c>
      <c r="O114" s="14">
        <f>IF(M114=0,0,INDEX(Seguimientos!$H$2:$H$1013,MATCH(A114&amp;"|"&amp;M114,Seguimientos!$K$2:$K$1013,0)))</f>
        <v/>
      </c>
      <c r="P114" s="9">
        <f>O114/2</f>
        <v/>
      </c>
      <c r="Q114" s="7">
        <f>INDEX(Escala!$B$2:$B$6,MATCH(O114,Escala!$A$2:$A$6,0))</f>
        <v/>
      </c>
      <c r="R114" s="7">
        <f>IF(O114=2,"Sí","No")</f>
        <v/>
      </c>
      <c r="S114" s="7">
        <f>IF(O114=0,"Sí","No")</f>
        <v/>
      </c>
      <c r="T114" s="7">
        <f>IF(AND(ISNUMBER(K114),O114&lt;2),IF(K114&lt;INDEX('Por sistema'!$D$5:$D$9,MATCH(B114,'Por sistema'!$A$5:$A$9,0)),"Sí","No"),"No")</f>
        <v/>
      </c>
    </row>
    <row r="115">
      <c r="A115" s="7" t="inlineStr">
        <is>
          <t>sga-2025-4</t>
        </is>
      </c>
      <c r="B115" s="7" t="inlineStr">
        <is>
          <t>SGA</t>
        </is>
      </c>
      <c r="C115" s="7" t="inlineStr">
        <is>
          <t>Sistema de Gestión Ambiental</t>
        </is>
      </c>
      <c r="D115" s="7" t="inlineStr">
        <is>
          <t>2025</t>
        </is>
      </c>
      <c r="E115" s="7" t="n">
        <v>4</v>
      </c>
      <c r="F115" s="13" t="inlineStr">
        <is>
          <t>Optimizar la infraestructura ambiental en unidades regionales</t>
        </is>
      </c>
      <c r="G115" s="13" t="inlineStr">
        <is>
          <t>Equipo SGA. Recursos Fisicos</t>
        </is>
      </c>
      <c r="H115" s="13" t="inlineStr">
        <is>
          <t>Gestión Ambiental, Recursos Físicos</t>
        </is>
      </c>
      <c r="I115" s="13" t="inlineStr">
        <is>
          <t>Inventario de infraestructura ambiental por unidades regionales</t>
        </is>
      </c>
      <c r="J115" s="13" t="inlineStr">
        <is>
          <t>30/06/2026</t>
        </is>
      </c>
      <c r="K115" s="8" t="n">
        <v>46203</v>
      </c>
      <c r="L115" s="7">
        <f>COUNTIF(Seguimientos!$A$2:$A$1013,A115)</f>
        <v/>
      </c>
      <c r="M115" s="7">
        <f>SUMPRODUCT(MAX((Seguimientos!$A$2:$A$1013=A115)*(Seguimientos!$H$2:$H$1013&lt;&gt;"")*Seguimientos!$B$2:$B$1013))</f>
        <v/>
      </c>
      <c r="N115" s="8">
        <f>IF(M115=0,"",INDEX(Seguimientos!$F$2:$F$1013,MATCH(A115&amp;"|"&amp;M115,Seguimientos!$K$2:$K$1013,0)))</f>
        <v/>
      </c>
      <c r="O115" s="14">
        <f>IF(M115=0,0,INDEX(Seguimientos!$H$2:$H$1013,MATCH(A115&amp;"|"&amp;M115,Seguimientos!$K$2:$K$1013,0)))</f>
        <v/>
      </c>
      <c r="P115" s="9">
        <f>O115/2</f>
        <v/>
      </c>
      <c r="Q115" s="7">
        <f>INDEX(Escala!$B$2:$B$6,MATCH(O115,Escala!$A$2:$A$6,0))</f>
        <v/>
      </c>
      <c r="R115" s="7">
        <f>IF(O115=2,"Sí","No")</f>
        <v/>
      </c>
      <c r="S115" s="7">
        <f>IF(O115=0,"Sí","No")</f>
        <v/>
      </c>
      <c r="T115" s="7">
        <f>IF(AND(ISNUMBER(K115),O115&lt;2),IF(K115&lt;INDEX('Por sistema'!$D$5:$D$9,MATCH(B115,'Por sistema'!$A$5:$A$9,0)),"Sí","No"),"No")</f>
        <v/>
      </c>
    </row>
    <row r="116">
      <c r="A116" s="7" t="inlineStr">
        <is>
          <t>sga-2025-5</t>
        </is>
      </c>
      <c r="B116" s="7" t="inlineStr">
        <is>
          <t>SGA</t>
        </is>
      </c>
      <c r="C116" s="7" t="inlineStr">
        <is>
          <t>Sistema de Gestión Ambiental</t>
        </is>
      </c>
      <c r="D116" s="7" t="inlineStr">
        <is>
          <t>2025</t>
        </is>
      </c>
      <c r="E116" s="7" t="n">
        <v>5</v>
      </c>
      <c r="F116" s="13" t="inlineStr">
        <is>
          <t>Fortalecer el recurso humano especializado en gestión ambiental</t>
        </is>
      </c>
      <c r="G116" s="13" t="inlineStr">
        <is>
          <t>Equipo SGA. Talento Humano.</t>
        </is>
      </c>
      <c r="H116" s="13" t="inlineStr">
        <is>
          <t>Talento Humano, Gestión Ambiental</t>
        </is>
      </c>
      <c r="I116" s="13" t="inlineStr">
        <is>
          <t>Programa de formación continua y fortalecimiento de competencias del SGA</t>
        </is>
      </c>
      <c r="J116" s="13" t="inlineStr">
        <is>
          <t>30/11/2026</t>
        </is>
      </c>
      <c r="K116" s="8" t="n">
        <v>46356</v>
      </c>
      <c r="L116" s="7">
        <f>COUNTIF(Seguimientos!$A$2:$A$1013,A116)</f>
        <v/>
      </c>
      <c r="M116" s="7">
        <f>SUMPRODUCT(MAX((Seguimientos!$A$2:$A$1013=A116)*(Seguimientos!$H$2:$H$1013&lt;&gt;"")*Seguimientos!$B$2:$B$1013))</f>
        <v/>
      </c>
      <c r="N116" s="8">
        <f>IF(M116=0,"",INDEX(Seguimientos!$F$2:$F$1013,MATCH(A116&amp;"|"&amp;M116,Seguimientos!$K$2:$K$1013,0)))</f>
        <v/>
      </c>
      <c r="O116" s="14">
        <f>IF(M116=0,0,INDEX(Seguimientos!$H$2:$H$1013,MATCH(A116&amp;"|"&amp;M116,Seguimientos!$K$2:$K$1013,0)))</f>
        <v/>
      </c>
      <c r="P116" s="9">
        <f>O116/2</f>
        <v/>
      </c>
      <c r="Q116" s="7">
        <f>INDEX(Escala!$B$2:$B$6,MATCH(O116,Escala!$A$2:$A$6,0))</f>
        <v/>
      </c>
      <c r="R116" s="7">
        <f>IF(O116=2,"Sí","No")</f>
        <v/>
      </c>
      <c r="S116" s="7">
        <f>IF(O116=0,"Sí","No")</f>
        <v/>
      </c>
      <c r="T116" s="7">
        <f>IF(AND(ISNUMBER(K116),O116&lt;2),IF(K116&lt;INDEX('Por sistema'!$D$5:$D$9,MATCH(B116,'Por sistema'!$A$5:$A$9,0)),"Sí","No"),"No")</f>
        <v/>
      </c>
    </row>
    <row r="117">
      <c r="A117" s="7" t="inlineStr">
        <is>
          <t>sgsst-2023-1</t>
        </is>
      </c>
      <c r="B117" s="7" t="inlineStr">
        <is>
          <t>SG-SST</t>
        </is>
      </c>
      <c r="C117" s="7" t="inlineStr">
        <is>
          <t>Seguridad y Salud en el Trabajo</t>
        </is>
      </c>
      <c r="D117" s="7" t="inlineStr">
        <is>
          <t>2023</t>
        </is>
      </c>
      <c r="E117" s="7" t="n">
        <v>1</v>
      </c>
      <c r="F117" s="13" t="inlineStr">
        <is>
          <t>Aprobación de la actualización de los Lineamientos del SG-SST (política).</t>
        </is>
      </c>
      <c r="G117" s="13" t="inlineStr">
        <is>
          <t>SG-SST/ALTA DIRECCION</t>
        </is>
      </c>
      <c r="H117" s="13" t="inlineStr">
        <is>
          <t>Alta Dirección, Seguridad y Salud en el Trabajo</t>
        </is>
      </c>
      <c r="I117" s="13" t="inlineStr">
        <is>
          <t>Política firmada</t>
        </is>
      </c>
      <c r="J117" s="13" t="inlineStr">
        <is>
          <t>ABRIL</t>
        </is>
      </c>
      <c r="K117" s="8" t="n"/>
      <c r="L117" s="7">
        <f>COUNTIF(Seguimientos!$A$2:$A$1013,A117)</f>
        <v/>
      </c>
      <c r="M117" s="7">
        <f>SUMPRODUCT(MAX((Seguimientos!$A$2:$A$1013=A117)*(Seguimientos!$H$2:$H$1013&lt;&gt;"")*Seguimientos!$B$2:$B$1013))</f>
        <v/>
      </c>
      <c r="N117" s="8">
        <f>IF(M117=0,"",INDEX(Seguimientos!$F$2:$F$1013,MATCH(A117&amp;"|"&amp;M117,Seguimientos!$K$2:$K$1013,0)))</f>
        <v/>
      </c>
      <c r="O117" s="14">
        <f>IF(M117=0,0,INDEX(Seguimientos!$H$2:$H$1013,MATCH(A117&amp;"|"&amp;M117,Seguimientos!$K$2:$K$1013,0)))</f>
        <v/>
      </c>
      <c r="P117" s="9">
        <f>O117/2</f>
        <v/>
      </c>
      <c r="Q117" s="7">
        <f>INDEX(Escala!$B$2:$B$6,MATCH(O117,Escala!$A$2:$A$6,0))</f>
        <v/>
      </c>
      <c r="R117" s="7">
        <f>IF(O117=2,"Sí","No")</f>
        <v/>
      </c>
      <c r="S117" s="7">
        <f>IF(O117=0,"Sí","No")</f>
        <v/>
      </c>
      <c r="T117" s="7">
        <f>IF(AND(ISNUMBER(K117),O117&lt;2),IF(K117&lt;INDEX('Por sistema'!$D$5:$D$9,MATCH(B117,'Por sistema'!$A$5:$A$9,0)),"Sí","No"),"No")</f>
        <v/>
      </c>
    </row>
    <row r="118">
      <c r="A118" s="7" t="inlineStr">
        <is>
          <t>sgsst-2023-2</t>
        </is>
      </c>
      <c r="B118" s="7" t="inlineStr">
        <is>
          <t>SG-SST</t>
        </is>
      </c>
      <c r="C118" s="7" t="inlineStr">
        <is>
          <t>Seguridad y Salud en el Trabajo</t>
        </is>
      </c>
      <c r="D118" s="7" t="inlineStr">
        <is>
          <t>2023</t>
        </is>
      </c>
      <c r="E118" s="7" t="n">
        <v>2</v>
      </c>
      <c r="F118" s="13" t="inlineStr">
        <is>
          <t>Priorización de recursos para proyectos de inversión que tengan relación con el SG-SST.</t>
        </is>
      </c>
      <c r="G118" s="13" t="inlineStr">
        <is>
          <t>ALTA DIRECCIÓN</t>
        </is>
      </c>
      <c r="H118" s="13" t="inlineStr">
        <is>
          <t>Alta Dirección</t>
        </is>
      </c>
      <c r="I118" s="13" t="inlineStr">
        <is>
          <t>Viabilidad de proyecto y asignación de recursos</t>
        </is>
      </c>
      <c r="J118" s="13" t="inlineStr">
        <is>
          <t>Julio</t>
        </is>
      </c>
      <c r="K118" s="8" t="n"/>
      <c r="L118" s="7">
        <f>COUNTIF(Seguimientos!$A$2:$A$1013,A118)</f>
        <v/>
      </c>
      <c r="M118" s="7">
        <f>SUMPRODUCT(MAX((Seguimientos!$A$2:$A$1013=A118)*(Seguimientos!$H$2:$H$1013&lt;&gt;"")*Seguimientos!$B$2:$B$1013))</f>
        <v/>
      </c>
      <c r="N118" s="8">
        <f>IF(M118=0,"",INDEX(Seguimientos!$F$2:$F$1013,MATCH(A118&amp;"|"&amp;M118,Seguimientos!$K$2:$K$1013,0)))</f>
        <v/>
      </c>
      <c r="O118" s="14">
        <f>IF(M118=0,0,INDEX(Seguimientos!$H$2:$H$1013,MATCH(A118&amp;"|"&amp;M118,Seguimientos!$K$2:$K$1013,0)))</f>
        <v/>
      </c>
      <c r="P118" s="9">
        <f>O118/2</f>
        <v/>
      </c>
      <c r="Q118" s="7">
        <f>INDEX(Escala!$B$2:$B$6,MATCH(O118,Escala!$A$2:$A$6,0))</f>
        <v/>
      </c>
      <c r="R118" s="7">
        <f>IF(O118=2,"Sí","No")</f>
        <v/>
      </c>
      <c r="S118" s="7">
        <f>IF(O118=0,"Sí","No")</f>
        <v/>
      </c>
      <c r="T118" s="7">
        <f>IF(AND(ISNUMBER(K118),O118&lt;2),IF(K118&lt;INDEX('Por sistema'!$D$5:$D$9,MATCH(B118,'Por sistema'!$A$5:$A$9,0)),"Sí","No"),"No")</f>
        <v/>
      </c>
    </row>
    <row r="119">
      <c r="A119" s="7" t="inlineStr">
        <is>
          <t>sgsst-2023-3</t>
        </is>
      </c>
      <c r="B119" s="7" t="inlineStr">
        <is>
          <t>SG-SST</t>
        </is>
      </c>
      <c r="C119" s="7" t="inlineStr">
        <is>
          <t>Seguridad y Salud en el Trabajo</t>
        </is>
      </c>
      <c r="D119" s="7" t="inlineStr">
        <is>
          <t>2023</t>
        </is>
      </c>
      <c r="E119" s="7" t="n">
        <v>3</v>
      </c>
      <c r="F119" s="13" t="inlineStr">
        <is>
          <t>Continuidad del personal de Laboratorios- control riesgo químico</t>
        </is>
      </c>
      <c r="G119" s="13" t="inlineStr">
        <is>
          <t>SG-SST/APOYO ACADEMICO/VICERRECTORIA ADMINISTRATIVA</t>
        </is>
      </c>
      <c r="H119" s="13" t="inlineStr">
        <is>
          <t>Seguridad y Salud en el Trabajo, Vicerrectoría Administrativa y Financiera, Apoyo y Desarrollo Académico</t>
        </is>
      </c>
      <c r="I119" s="13" t="inlineStr">
        <is>
          <t>Continuidad de funcionarios de Laboratorios</t>
        </is>
      </c>
      <c r="J119" s="13" t="inlineStr">
        <is>
          <t>Julio</t>
        </is>
      </c>
      <c r="K119" s="8" t="n"/>
      <c r="L119" s="7">
        <f>COUNTIF(Seguimientos!$A$2:$A$1013,A119)</f>
        <v/>
      </c>
      <c r="M119" s="7">
        <f>SUMPRODUCT(MAX((Seguimientos!$A$2:$A$1013=A119)*(Seguimientos!$H$2:$H$1013&lt;&gt;"")*Seguimientos!$B$2:$B$1013))</f>
        <v/>
      </c>
      <c r="N119" s="8">
        <f>IF(M119=0,"",INDEX(Seguimientos!$F$2:$F$1013,MATCH(A119&amp;"|"&amp;M119,Seguimientos!$K$2:$K$1013,0)))</f>
        <v/>
      </c>
      <c r="O119" s="14">
        <f>IF(M119=0,0,INDEX(Seguimientos!$H$2:$H$1013,MATCH(A119&amp;"|"&amp;M119,Seguimientos!$K$2:$K$1013,0)))</f>
        <v/>
      </c>
      <c r="P119" s="9">
        <f>O119/2</f>
        <v/>
      </c>
      <c r="Q119" s="7">
        <f>INDEX(Escala!$B$2:$B$6,MATCH(O119,Escala!$A$2:$A$6,0))</f>
        <v/>
      </c>
      <c r="R119" s="7">
        <f>IF(O119=2,"Sí","No")</f>
        <v/>
      </c>
      <c r="S119" s="7">
        <f>IF(O119=0,"Sí","No")</f>
        <v/>
      </c>
      <c r="T119" s="7">
        <f>IF(AND(ISNUMBER(K119),O119&lt;2),IF(K119&lt;INDEX('Por sistema'!$D$5:$D$9,MATCH(B119,'Por sistema'!$A$5:$A$9,0)),"Sí","No"),"No")</f>
        <v/>
      </c>
    </row>
    <row r="120">
      <c r="A120" s="7" t="inlineStr">
        <is>
          <t>sgsst-2023-4</t>
        </is>
      </c>
      <c r="B120" s="7" t="inlineStr">
        <is>
          <t>SG-SST</t>
        </is>
      </c>
      <c r="C120" s="7" t="inlineStr">
        <is>
          <t>Seguridad y Salud en el Trabajo</t>
        </is>
      </c>
      <c r="D120" s="7" t="inlineStr">
        <is>
          <t>2023</t>
        </is>
      </c>
      <c r="E120" s="7" t="n">
        <v>4</v>
      </c>
      <c r="F120" s="13" t="inlineStr">
        <is>
          <t>Continuar con la membresía de centro jurídico</t>
        </is>
      </c>
      <c r="G120" s="13" t="inlineStr">
        <is>
          <t>SG-SST/ALTA DIRECCION</t>
        </is>
      </c>
      <c r="H120" s="13" t="inlineStr">
        <is>
          <t>Alta Dirección, Seguridad y Salud en el Trabajo</t>
        </is>
      </c>
      <c r="I120" s="13" t="inlineStr">
        <is>
          <t>Afiliación a la membresía</t>
        </is>
      </c>
      <c r="J120" s="13" t="inlineStr">
        <is>
          <t>Septiembre</t>
        </is>
      </c>
      <c r="K120" s="8" t="n"/>
      <c r="L120" s="7">
        <f>COUNTIF(Seguimientos!$A$2:$A$1013,A120)</f>
        <v/>
      </c>
      <c r="M120" s="7">
        <f>SUMPRODUCT(MAX((Seguimientos!$A$2:$A$1013=A120)*(Seguimientos!$H$2:$H$1013&lt;&gt;"")*Seguimientos!$B$2:$B$1013))</f>
        <v/>
      </c>
      <c r="N120" s="8">
        <f>IF(M120=0,"",INDEX(Seguimientos!$F$2:$F$1013,MATCH(A120&amp;"|"&amp;M120,Seguimientos!$K$2:$K$1013,0)))</f>
        <v/>
      </c>
      <c r="O120" s="14">
        <f>IF(M120=0,0,INDEX(Seguimientos!$H$2:$H$1013,MATCH(A120&amp;"|"&amp;M120,Seguimientos!$K$2:$K$1013,0)))</f>
        <v/>
      </c>
      <c r="P120" s="9">
        <f>O120/2</f>
        <v/>
      </c>
      <c r="Q120" s="7">
        <f>INDEX(Escala!$B$2:$B$6,MATCH(O120,Escala!$A$2:$A$6,0))</f>
        <v/>
      </c>
      <c r="R120" s="7">
        <f>IF(O120=2,"Sí","No")</f>
        <v/>
      </c>
      <c r="S120" s="7">
        <f>IF(O120=0,"Sí","No")</f>
        <v/>
      </c>
      <c r="T120" s="7">
        <f>IF(AND(ISNUMBER(K120),O120&lt;2),IF(K120&lt;INDEX('Por sistema'!$D$5:$D$9,MATCH(B120,'Por sistema'!$A$5:$A$9,0)),"Sí","No"),"No")</f>
        <v/>
      </c>
    </row>
    <row r="121">
      <c r="A121" s="7" t="inlineStr">
        <is>
          <t>sgsst-2023-5</t>
        </is>
      </c>
      <c r="B121" s="7" t="inlineStr">
        <is>
          <t>SG-SST</t>
        </is>
      </c>
      <c r="C121" s="7" t="inlineStr">
        <is>
          <t>Seguridad y Salud en el Trabajo</t>
        </is>
      </c>
      <c r="D121" s="7" t="inlineStr">
        <is>
          <t>2023</t>
        </is>
      </c>
      <c r="E121" s="7" t="n">
        <v>5</v>
      </c>
      <c r="F121" s="13" t="inlineStr">
        <is>
          <t>Transición para la implementación de los requisitos de solicitud de vacunas a estudian y docentes expuestos riesgo biológicos.</t>
        </is>
      </c>
      <c r="G121" s="13" t="inlineStr">
        <is>
          <t>SG-SST /ACADEMIA</t>
        </is>
      </c>
      <c r="H121" s="13" t="inlineStr">
        <is>
          <t>Seguridad y Salud en el Trabajo, Apoyo y Desarrollo Académico</t>
        </is>
      </c>
      <c r="I121" s="13" t="inlineStr">
        <is>
          <t>Evidencias de mesas de trabajo con la academia.</t>
        </is>
      </c>
      <c r="J121" s="13" t="inlineStr">
        <is>
          <t>Octubre</t>
        </is>
      </c>
      <c r="K121" s="8" t="n"/>
      <c r="L121" s="7">
        <f>COUNTIF(Seguimientos!$A$2:$A$1013,A121)</f>
        <v/>
      </c>
      <c r="M121" s="7">
        <f>SUMPRODUCT(MAX((Seguimientos!$A$2:$A$1013=A121)*(Seguimientos!$H$2:$H$1013&lt;&gt;"")*Seguimientos!$B$2:$B$1013))</f>
        <v/>
      </c>
      <c r="N121" s="8">
        <f>IF(M121=0,"",INDEX(Seguimientos!$F$2:$F$1013,MATCH(A121&amp;"|"&amp;M121,Seguimientos!$K$2:$K$1013,0)))</f>
        <v/>
      </c>
      <c r="O121" s="14">
        <f>IF(M121=0,0,INDEX(Seguimientos!$H$2:$H$1013,MATCH(A121&amp;"|"&amp;M121,Seguimientos!$K$2:$K$1013,0)))</f>
        <v/>
      </c>
      <c r="P121" s="9">
        <f>O121/2</f>
        <v/>
      </c>
      <c r="Q121" s="7">
        <f>INDEX(Escala!$B$2:$B$6,MATCH(O121,Escala!$A$2:$A$6,0))</f>
        <v/>
      </c>
      <c r="R121" s="7">
        <f>IF(O121=2,"Sí","No")</f>
        <v/>
      </c>
      <c r="S121" s="7">
        <f>IF(O121=0,"Sí","No")</f>
        <v/>
      </c>
      <c r="T121" s="7">
        <f>IF(AND(ISNUMBER(K121),O121&lt;2),IF(K121&lt;INDEX('Por sistema'!$D$5:$D$9,MATCH(B121,'Por sistema'!$A$5:$A$9,0)),"Sí","No"),"No")</f>
        <v/>
      </c>
    </row>
    <row r="122">
      <c r="A122" s="7" t="inlineStr">
        <is>
          <t>sgsst-2024-1</t>
        </is>
      </c>
      <c r="B122" s="7" t="inlineStr">
        <is>
          <t>SG-SST</t>
        </is>
      </c>
      <c r="C122" s="7" t="inlineStr">
        <is>
          <t>Seguridad y Salud en el Trabajo</t>
        </is>
      </c>
      <c r="D122" s="7" t="inlineStr">
        <is>
          <t>2024</t>
        </is>
      </c>
      <c r="E122" s="7" t="n">
        <v>1</v>
      </c>
      <c r="F122" s="13" t="inlineStr">
        <is>
          <t>En el ejercicio de planeación presupuestal de la vigencia priorizar tanto para funcionamiento como inversión la asignación de recursos a los proyectos inscritos en el BPU, que estén asociados a mejorar espacios de planta física y eliminación de riesgo en los escenarios de académicos, fortaleciendo el SG-SST.</t>
        </is>
      </c>
      <c r="G122" s="13" t="inlineStr">
        <is>
          <t>Alta Dirección (Priorización de los recursos), Dirección de Planeación Institucional (Entrega la evidencia de la priorización )</t>
        </is>
      </c>
      <c r="H122" s="13" t="inlineStr">
        <is>
          <t>Alta Dirección, Planeación Institucional</t>
        </is>
      </c>
      <c r="I122" s="13" t="inlineStr">
        <is>
          <t>Proyectos priorizados -asignación presupuestal</t>
        </is>
      </c>
      <c r="J122" s="13" t="inlineStr">
        <is>
          <t>II PA 2025 30 de Noviembre</t>
        </is>
      </c>
      <c r="K122" s="8" t="n"/>
      <c r="L122" s="7">
        <f>COUNTIF(Seguimientos!$A$2:$A$1013,A122)</f>
        <v/>
      </c>
      <c r="M122" s="7">
        <f>SUMPRODUCT(MAX((Seguimientos!$A$2:$A$1013=A122)*(Seguimientos!$H$2:$H$1013&lt;&gt;"")*Seguimientos!$B$2:$B$1013))</f>
        <v/>
      </c>
      <c r="N122" s="8">
        <f>IF(M122=0,"",INDEX(Seguimientos!$F$2:$F$1013,MATCH(A122&amp;"|"&amp;M122,Seguimientos!$K$2:$K$1013,0)))</f>
        <v/>
      </c>
      <c r="O122" s="14">
        <f>IF(M122=0,0,INDEX(Seguimientos!$H$2:$H$1013,MATCH(A122&amp;"|"&amp;M122,Seguimientos!$K$2:$K$1013,0)))</f>
        <v/>
      </c>
      <c r="P122" s="9">
        <f>O122/2</f>
        <v/>
      </c>
      <c r="Q122" s="7">
        <f>INDEX(Escala!$B$2:$B$6,MATCH(O122,Escala!$A$2:$A$6,0))</f>
        <v/>
      </c>
      <c r="R122" s="7">
        <f>IF(O122=2,"Sí","No")</f>
        <v/>
      </c>
      <c r="S122" s="7">
        <f>IF(O122=0,"Sí","No")</f>
        <v/>
      </c>
      <c r="T122" s="7">
        <f>IF(AND(ISNUMBER(K122),O122&lt;2),IF(K122&lt;INDEX('Por sistema'!$D$5:$D$9,MATCH(B122,'Por sistema'!$A$5:$A$9,0)),"Sí","No"),"No")</f>
        <v/>
      </c>
    </row>
    <row r="123">
      <c r="A123" s="7" t="inlineStr">
        <is>
          <t>sgsst-2024-2</t>
        </is>
      </c>
      <c r="B123" s="7" t="inlineStr">
        <is>
          <t>SG-SST</t>
        </is>
      </c>
      <c r="C123" s="7" t="inlineStr">
        <is>
          <t>Seguridad y Salud en el Trabajo</t>
        </is>
      </c>
      <c r="D123" s="7" t="inlineStr">
        <is>
          <t>2024</t>
        </is>
      </c>
      <c r="E123" s="7" t="n">
        <v>2</v>
      </c>
      <c r="F123" s="13" t="inlineStr">
        <is>
          <t>Se requiere fortalecer la contratación o formación de personal con certificado para intervenciones en actividades eléctricos, con el fin de instalar, mantener y reparar los sistemas eléctricos en cada centro de trabajo que permite prevenir, controlar o mitigar eventos que pongan en riesgo la actividad.</t>
        </is>
      </c>
      <c r="G123" s="13" t="inlineStr">
        <is>
          <t>Vicerrectoría Financiera, Director Administrativo SG-SST</t>
        </is>
      </c>
      <c r="H123" s="13" t="inlineStr">
        <is>
          <t>Seguridad y Salud en el Trabajo, Vicerrectoría Administrativa y Financiera</t>
        </is>
      </c>
      <c r="I123" s="13" t="inlineStr">
        <is>
          <t>Contrato de persona con la competencia para realizar trabajos eléctricos</t>
        </is>
      </c>
      <c r="J123" s="13" t="inlineStr">
        <is>
          <t>IPA 2025 31de Marzo</t>
        </is>
      </c>
      <c r="K123" s="8" t="n"/>
      <c r="L123" s="7">
        <f>COUNTIF(Seguimientos!$A$2:$A$1013,A123)</f>
        <v/>
      </c>
      <c r="M123" s="7">
        <f>SUMPRODUCT(MAX((Seguimientos!$A$2:$A$1013=A123)*(Seguimientos!$H$2:$H$1013&lt;&gt;"")*Seguimientos!$B$2:$B$1013))</f>
        <v/>
      </c>
      <c r="N123" s="8">
        <f>IF(M123=0,"",INDEX(Seguimientos!$F$2:$F$1013,MATCH(A123&amp;"|"&amp;M123,Seguimientos!$K$2:$K$1013,0)))</f>
        <v/>
      </c>
      <c r="O123" s="14">
        <f>IF(M123=0,0,INDEX(Seguimientos!$H$2:$H$1013,MATCH(A123&amp;"|"&amp;M123,Seguimientos!$K$2:$K$1013,0)))</f>
        <v/>
      </c>
      <c r="P123" s="9">
        <f>O123/2</f>
        <v/>
      </c>
      <c r="Q123" s="7">
        <f>INDEX(Escala!$B$2:$B$6,MATCH(O123,Escala!$A$2:$A$6,0))</f>
        <v/>
      </c>
      <c r="R123" s="7">
        <f>IF(O123=2,"Sí","No")</f>
        <v/>
      </c>
      <c r="S123" s="7">
        <f>IF(O123=0,"Sí","No")</f>
        <v/>
      </c>
      <c r="T123" s="7">
        <f>IF(AND(ISNUMBER(K123),O123&lt;2),IF(K123&lt;INDEX('Por sistema'!$D$5:$D$9,MATCH(B123,'Por sistema'!$A$5:$A$9,0)),"Sí","No"),"No")</f>
        <v/>
      </c>
    </row>
    <row r="124">
      <c r="A124" s="7" t="inlineStr">
        <is>
          <t>sgsst-2024-3</t>
        </is>
      </c>
      <c r="B124" s="7" t="inlineStr">
        <is>
          <t>SG-SST</t>
        </is>
      </c>
      <c r="C124" s="7" t="inlineStr">
        <is>
          <t>Seguridad y Salud en el Trabajo</t>
        </is>
      </c>
      <c r="D124" s="7" t="inlineStr">
        <is>
          <t>2024</t>
        </is>
      </c>
      <c r="E124" s="7" t="n">
        <v>3</v>
      </c>
      <c r="F124" s="13" t="inlineStr">
        <is>
          <t>Definir si el SG-SST es conveniente para la Universidad</t>
        </is>
      </c>
      <c r="G124" s="13" t="inlineStr">
        <is>
          <t>Alta Dirección SG-SST</t>
        </is>
      </c>
      <c r="H124" s="13" t="inlineStr">
        <is>
          <t>Alta Dirección, Seguridad y Salud en el Trabajo</t>
        </is>
      </c>
      <c r="I124" s="13" t="inlineStr">
        <is>
          <t>Resumen de las decisiones aprobadas en la RXD vigencia 2024- Acta de RXD 2024</t>
        </is>
      </c>
      <c r="J124" s="13" t="inlineStr">
        <is>
          <t>IPA 2025 31de Marzo</t>
        </is>
      </c>
      <c r="K124" s="8" t="n"/>
      <c r="L124" s="7">
        <f>COUNTIF(Seguimientos!$A$2:$A$1013,A124)</f>
        <v/>
      </c>
      <c r="M124" s="7">
        <f>SUMPRODUCT(MAX((Seguimientos!$A$2:$A$1013=A124)*(Seguimientos!$H$2:$H$1013&lt;&gt;"")*Seguimientos!$B$2:$B$1013))</f>
        <v/>
      </c>
      <c r="N124" s="8">
        <f>IF(M124=0,"",INDEX(Seguimientos!$F$2:$F$1013,MATCH(A124&amp;"|"&amp;M124,Seguimientos!$K$2:$K$1013,0)))</f>
        <v/>
      </c>
      <c r="O124" s="14">
        <f>IF(M124=0,0,INDEX(Seguimientos!$H$2:$H$1013,MATCH(A124&amp;"|"&amp;M124,Seguimientos!$K$2:$K$1013,0)))</f>
        <v/>
      </c>
      <c r="P124" s="9">
        <f>O124/2</f>
        <v/>
      </c>
      <c r="Q124" s="7">
        <f>INDEX(Escala!$B$2:$B$6,MATCH(O124,Escala!$A$2:$A$6,0))</f>
        <v/>
      </c>
      <c r="R124" s="7">
        <f>IF(O124=2,"Sí","No")</f>
        <v/>
      </c>
      <c r="S124" s="7">
        <f>IF(O124=0,"Sí","No")</f>
        <v/>
      </c>
      <c r="T124" s="7">
        <f>IF(AND(ISNUMBER(K124),O124&lt;2),IF(K124&lt;INDEX('Por sistema'!$D$5:$D$9,MATCH(B124,'Por sistema'!$A$5:$A$9,0)),"Sí","No"),"No")</f>
        <v/>
      </c>
    </row>
    <row r="125">
      <c r="A125" s="7" t="inlineStr">
        <is>
          <t>sgsst-2024-4</t>
        </is>
      </c>
      <c r="B125" s="7" t="inlineStr">
        <is>
          <t>SG-SST</t>
        </is>
      </c>
      <c r="C125" s="7" t="inlineStr">
        <is>
          <t>Seguridad y Salud en el Trabajo</t>
        </is>
      </c>
      <c r="D125" s="7" t="inlineStr">
        <is>
          <t>2024</t>
        </is>
      </c>
      <c r="E125" s="7" t="n">
        <v>4</v>
      </c>
      <c r="F125" s="13" t="inlineStr">
        <is>
          <t>Definir si el SG-SST eficaz para la Universidad</t>
        </is>
      </c>
      <c r="G125" s="13" t="inlineStr">
        <is>
          <t>Alta Dirección SG-SST</t>
        </is>
      </c>
      <c r="H125" s="13" t="inlineStr">
        <is>
          <t>Alta Dirección, Seguridad y Salud en el Trabajo</t>
        </is>
      </c>
      <c r="I125" s="13" t="inlineStr">
        <is>
          <t>Resumen de las decisiones aprobadas en la RXD vigencia 2024- Acta de RXD 2024</t>
        </is>
      </c>
      <c r="J125" s="13" t="inlineStr">
        <is>
          <t>IPA 2025 31de Marzo</t>
        </is>
      </c>
      <c r="K125" s="8" t="n"/>
      <c r="L125" s="7">
        <f>COUNTIF(Seguimientos!$A$2:$A$1013,A125)</f>
        <v/>
      </c>
      <c r="M125" s="7">
        <f>SUMPRODUCT(MAX((Seguimientos!$A$2:$A$1013=A125)*(Seguimientos!$H$2:$H$1013&lt;&gt;"")*Seguimientos!$B$2:$B$1013))</f>
        <v/>
      </c>
      <c r="N125" s="8">
        <f>IF(M125=0,"",INDEX(Seguimientos!$F$2:$F$1013,MATCH(A125&amp;"|"&amp;M125,Seguimientos!$K$2:$K$1013,0)))</f>
        <v/>
      </c>
      <c r="O125" s="14">
        <f>IF(M125=0,0,INDEX(Seguimientos!$H$2:$H$1013,MATCH(A125&amp;"|"&amp;M125,Seguimientos!$K$2:$K$1013,0)))</f>
        <v/>
      </c>
      <c r="P125" s="9">
        <f>O125/2</f>
        <v/>
      </c>
      <c r="Q125" s="7">
        <f>INDEX(Escala!$B$2:$B$6,MATCH(O125,Escala!$A$2:$A$6,0))</f>
        <v/>
      </c>
      <c r="R125" s="7">
        <f>IF(O125=2,"Sí","No")</f>
        <v/>
      </c>
      <c r="S125" s="7">
        <f>IF(O125=0,"Sí","No")</f>
        <v/>
      </c>
      <c r="T125" s="7">
        <f>IF(AND(ISNUMBER(K125),O125&lt;2),IF(K125&lt;INDEX('Por sistema'!$D$5:$D$9,MATCH(B125,'Por sistema'!$A$5:$A$9,0)),"Sí","No"),"No")</f>
        <v/>
      </c>
    </row>
    <row r="126">
      <c r="A126" s="7" t="inlineStr">
        <is>
          <t>sgsst-2024-5</t>
        </is>
      </c>
      <c r="B126" s="7" t="inlineStr">
        <is>
          <t>SG-SST</t>
        </is>
      </c>
      <c r="C126" s="7" t="inlineStr">
        <is>
          <t>Seguridad y Salud en el Trabajo</t>
        </is>
      </c>
      <c r="D126" s="7" t="inlineStr">
        <is>
          <t>2024</t>
        </is>
      </c>
      <c r="E126" s="7" t="n">
        <v>5</v>
      </c>
      <c r="F126" s="13" t="inlineStr">
        <is>
          <t>Definir si el SG-SST pertinente y adecuado para la Universidad.</t>
        </is>
      </c>
      <c r="G126" s="13" t="inlineStr">
        <is>
          <t>Alta Dirección SG-SST</t>
        </is>
      </c>
      <c r="H126" s="13" t="inlineStr">
        <is>
          <t>Alta Dirección, Seguridad y Salud en el Trabajo</t>
        </is>
      </c>
      <c r="I126" s="13" t="inlineStr">
        <is>
          <t>Resumen de las decisiones aprobadas en la RXD vigencia 2024- Acta de RXD 2024</t>
        </is>
      </c>
      <c r="J126" s="13" t="inlineStr">
        <is>
          <t>IPA 2025 31de Marzo</t>
        </is>
      </c>
      <c r="K126" s="8" t="n"/>
      <c r="L126" s="7">
        <f>COUNTIF(Seguimientos!$A$2:$A$1013,A126)</f>
        <v/>
      </c>
      <c r="M126" s="7">
        <f>SUMPRODUCT(MAX((Seguimientos!$A$2:$A$1013=A126)*(Seguimientos!$H$2:$H$1013&lt;&gt;"")*Seguimientos!$B$2:$B$1013))</f>
        <v/>
      </c>
      <c r="N126" s="8">
        <f>IF(M126=0,"",INDEX(Seguimientos!$F$2:$F$1013,MATCH(A126&amp;"|"&amp;M126,Seguimientos!$K$2:$K$1013,0)))</f>
        <v/>
      </c>
      <c r="O126" s="14">
        <f>IF(M126=0,0,INDEX(Seguimientos!$H$2:$H$1013,MATCH(A126&amp;"|"&amp;M126,Seguimientos!$K$2:$K$1013,0)))</f>
        <v/>
      </c>
      <c r="P126" s="9">
        <f>O126/2</f>
        <v/>
      </c>
      <c r="Q126" s="7">
        <f>INDEX(Escala!$B$2:$B$6,MATCH(O126,Escala!$A$2:$A$6,0))</f>
        <v/>
      </c>
      <c r="R126" s="7">
        <f>IF(O126=2,"Sí","No")</f>
        <v/>
      </c>
      <c r="S126" s="7">
        <f>IF(O126=0,"Sí","No")</f>
        <v/>
      </c>
      <c r="T126" s="7">
        <f>IF(AND(ISNUMBER(K126),O126&lt;2),IF(K126&lt;INDEX('Por sistema'!$D$5:$D$9,MATCH(B126,'Por sistema'!$A$5:$A$9,0)),"Sí","No"),"No")</f>
        <v/>
      </c>
    </row>
    <row r="127">
      <c r="A127" s="7" t="inlineStr">
        <is>
          <t>sgsst-2024-6</t>
        </is>
      </c>
      <c r="B127" s="7" t="inlineStr">
        <is>
          <t>SG-SST</t>
        </is>
      </c>
      <c r="C127" s="7" t="inlineStr">
        <is>
          <t>Seguridad y Salud en el Trabajo</t>
        </is>
      </c>
      <c r="D127" s="7" t="inlineStr">
        <is>
          <t>2024</t>
        </is>
      </c>
      <c r="E127" s="7" t="n">
        <v>6</v>
      </c>
      <c r="F127" s="13" t="inlineStr">
        <is>
          <t>Contratar químico para manejo de riesgos en laboratorios</t>
        </is>
      </c>
      <c r="G127" s="13" t="inlineStr">
        <is>
          <t>Alta Dirección SG-SST</t>
        </is>
      </c>
      <c r="H127" s="13" t="inlineStr">
        <is>
          <t>Alta Dirección, Seguridad y Salud en el Trabajo</t>
        </is>
      </c>
      <c r="I127" s="13" t="inlineStr">
        <is>
          <t>Soporte de Profesional químico</t>
        </is>
      </c>
      <c r="J127" s="13" t="inlineStr">
        <is>
          <t>II PA 2025 31de Julio</t>
        </is>
      </c>
      <c r="K127" s="8" t="n"/>
      <c r="L127" s="7">
        <f>COUNTIF(Seguimientos!$A$2:$A$1013,A127)</f>
        <v/>
      </c>
      <c r="M127" s="7">
        <f>SUMPRODUCT(MAX((Seguimientos!$A$2:$A$1013=A127)*(Seguimientos!$H$2:$H$1013&lt;&gt;"")*Seguimientos!$B$2:$B$1013))</f>
        <v/>
      </c>
      <c r="N127" s="8">
        <f>IF(M127=0,"",INDEX(Seguimientos!$F$2:$F$1013,MATCH(A127&amp;"|"&amp;M127,Seguimientos!$K$2:$K$1013,0)))</f>
        <v/>
      </c>
      <c r="O127" s="14">
        <f>IF(M127=0,0,INDEX(Seguimientos!$H$2:$H$1013,MATCH(A127&amp;"|"&amp;M127,Seguimientos!$K$2:$K$1013,0)))</f>
        <v/>
      </c>
      <c r="P127" s="9">
        <f>O127/2</f>
        <v/>
      </c>
      <c r="Q127" s="7">
        <f>INDEX(Escala!$B$2:$B$6,MATCH(O127,Escala!$A$2:$A$6,0))</f>
        <v/>
      </c>
      <c r="R127" s="7">
        <f>IF(O127=2,"Sí","No")</f>
        <v/>
      </c>
      <c r="S127" s="7">
        <f>IF(O127=0,"Sí","No")</f>
        <v/>
      </c>
      <c r="T127" s="7">
        <f>IF(AND(ISNUMBER(K127),O127&lt;2),IF(K127&lt;INDEX('Por sistema'!$D$5:$D$9,MATCH(B127,'Por sistema'!$A$5:$A$9,0)),"Sí","No"),"No")</f>
        <v/>
      </c>
    </row>
    <row r="128">
      <c r="A128" s="7" t="inlineStr">
        <is>
          <t>sgsst-2024-7</t>
        </is>
      </c>
      <c r="B128" s="7" t="inlineStr">
        <is>
          <t>SG-SST</t>
        </is>
      </c>
      <c r="C128" s="7" t="inlineStr">
        <is>
          <t>Seguridad y Salud en el Trabajo</t>
        </is>
      </c>
      <c r="D128" s="7" t="inlineStr">
        <is>
          <t>2024</t>
        </is>
      </c>
      <c r="E128" s="7" t="n">
        <v>7</v>
      </c>
      <c r="F128" s="13" t="inlineStr">
        <is>
          <t>Contratación de profesional de SST para la extensión de Zipaquirá</t>
        </is>
      </c>
      <c r="G128" s="13" t="inlineStr">
        <is>
          <t>Vicerrectoría Financiera, Director Administrativo, SG SST</t>
        </is>
      </c>
      <c r="H128" s="13" t="inlineStr">
        <is>
          <t>Seguridad y Salud en el Trabajo, Vicerrectoría Administrativa y Financiera</t>
        </is>
      </c>
      <c r="I128" s="13" t="inlineStr">
        <is>
          <t>Soporte de Profesional SST de la extensión</t>
        </is>
      </c>
      <c r="J128" s="13" t="inlineStr">
        <is>
          <t>II PA 2025 31de Julio</t>
        </is>
      </c>
      <c r="K128" s="8" t="n"/>
      <c r="L128" s="7">
        <f>COUNTIF(Seguimientos!$A$2:$A$1013,A128)</f>
        <v/>
      </c>
      <c r="M128" s="7">
        <f>SUMPRODUCT(MAX((Seguimientos!$A$2:$A$1013=A128)*(Seguimientos!$H$2:$H$1013&lt;&gt;"")*Seguimientos!$B$2:$B$1013))</f>
        <v/>
      </c>
      <c r="N128" s="8">
        <f>IF(M128=0,"",INDEX(Seguimientos!$F$2:$F$1013,MATCH(A128&amp;"|"&amp;M128,Seguimientos!$K$2:$K$1013,0)))</f>
        <v/>
      </c>
      <c r="O128" s="14">
        <f>IF(M128=0,0,INDEX(Seguimientos!$H$2:$H$1013,MATCH(A128&amp;"|"&amp;M128,Seguimientos!$K$2:$K$1013,0)))</f>
        <v/>
      </c>
      <c r="P128" s="9">
        <f>O128/2</f>
        <v/>
      </c>
      <c r="Q128" s="7">
        <f>INDEX(Escala!$B$2:$B$6,MATCH(O128,Escala!$A$2:$A$6,0))</f>
        <v/>
      </c>
      <c r="R128" s="7">
        <f>IF(O128=2,"Sí","No")</f>
        <v/>
      </c>
      <c r="S128" s="7">
        <f>IF(O128=0,"Sí","No")</f>
        <v/>
      </c>
      <c r="T128" s="7">
        <f>IF(AND(ISNUMBER(K128),O128&lt;2),IF(K128&lt;INDEX('Por sistema'!$D$5:$D$9,MATCH(B128,'Por sistema'!$A$5:$A$9,0)),"Sí","No"),"No")</f>
        <v/>
      </c>
    </row>
    <row r="129">
      <c r="A129" s="7" t="inlineStr">
        <is>
          <t>sgsst-2024-8</t>
        </is>
      </c>
      <c r="B129" s="7" t="inlineStr">
        <is>
          <t>SG-SST</t>
        </is>
      </c>
      <c r="C129" s="7" t="inlineStr">
        <is>
          <t>Seguridad y Salud en el Trabajo</t>
        </is>
      </c>
      <c r="D129" s="7" t="inlineStr">
        <is>
          <t>2024</t>
        </is>
      </c>
      <c r="E129" s="7" t="n">
        <v>8</v>
      </c>
      <c r="F129" s="13" t="inlineStr">
        <is>
          <t>La alta dirección debe indicar si considera que la política y los objetivos del SG-SST, son pertinentes y apropiados a la naturaleza y la razón de ser de la universidad de Cundinamarca</t>
        </is>
      </c>
      <c r="G129" s="13" t="inlineStr">
        <is>
          <t>Alta Dirección, SG-SST</t>
        </is>
      </c>
      <c r="H129" s="13" t="inlineStr">
        <is>
          <t>Alta Dirección, Seguridad y Salud en el Trabajo</t>
        </is>
      </c>
      <c r="I129" s="13" t="inlineStr">
        <is>
          <t>Resumen de las decisiones aprobadas en la RXD vigencia 2024- Acta de RXD 2024</t>
        </is>
      </c>
      <c r="J129" s="13" t="inlineStr">
        <is>
          <t>IPA 2025 31de Marzo</t>
        </is>
      </c>
      <c r="K129" s="8" t="n"/>
      <c r="L129" s="7">
        <f>COUNTIF(Seguimientos!$A$2:$A$1013,A129)</f>
        <v/>
      </c>
      <c r="M129" s="7">
        <f>SUMPRODUCT(MAX((Seguimientos!$A$2:$A$1013=A129)*(Seguimientos!$H$2:$H$1013&lt;&gt;"")*Seguimientos!$B$2:$B$1013))</f>
        <v/>
      </c>
      <c r="N129" s="8">
        <f>IF(M129=0,"",INDEX(Seguimientos!$F$2:$F$1013,MATCH(A129&amp;"|"&amp;M129,Seguimientos!$K$2:$K$1013,0)))</f>
        <v/>
      </c>
      <c r="O129" s="14">
        <f>IF(M129=0,0,INDEX(Seguimientos!$H$2:$H$1013,MATCH(A129&amp;"|"&amp;M129,Seguimientos!$K$2:$K$1013,0)))</f>
        <v/>
      </c>
      <c r="P129" s="9">
        <f>O129/2</f>
        <v/>
      </c>
      <c r="Q129" s="7">
        <f>INDEX(Escala!$B$2:$B$6,MATCH(O129,Escala!$A$2:$A$6,0))</f>
        <v/>
      </c>
      <c r="R129" s="7">
        <f>IF(O129=2,"Sí","No")</f>
        <v/>
      </c>
      <c r="S129" s="7">
        <f>IF(O129=0,"Sí","No")</f>
        <v/>
      </c>
      <c r="T129" s="7">
        <f>IF(AND(ISNUMBER(K129),O129&lt;2),IF(K129&lt;INDEX('Por sistema'!$D$5:$D$9,MATCH(B129,'Por sistema'!$A$5:$A$9,0)),"Sí","No"),"No")</f>
        <v/>
      </c>
    </row>
    <row r="130">
      <c r="A130" s="7" t="inlineStr">
        <is>
          <t>sgsst-2024-9</t>
        </is>
      </c>
      <c r="B130" s="7" t="inlineStr">
        <is>
          <t>SG-SST</t>
        </is>
      </c>
      <c r="C130" s="7" t="inlineStr">
        <is>
          <t>Seguridad y Salud en el Trabajo</t>
        </is>
      </c>
      <c r="D130" s="7" t="inlineStr">
        <is>
          <t>2024</t>
        </is>
      </c>
      <c r="E130" s="7" t="n">
        <v>9</v>
      </c>
      <c r="F130" s="13" t="inlineStr">
        <is>
          <t>La alta dirección debe indicar si considera pertinente la actualización de la política y los objetivos del SG-SST</t>
        </is>
      </c>
      <c r="G130" s="13" t="inlineStr">
        <is>
          <t>Alta Dirección, SG-SST</t>
        </is>
      </c>
      <c r="H130" s="13" t="inlineStr">
        <is>
          <t>Alta Dirección, Seguridad y Salud en el Trabajo</t>
        </is>
      </c>
      <c r="I130" s="13" t="inlineStr">
        <is>
          <t>Política actualizada</t>
        </is>
      </c>
      <c r="J130" s="13" t="inlineStr">
        <is>
          <t>II PA 2025 31de Marzo</t>
        </is>
      </c>
      <c r="K130" s="8" t="n"/>
      <c r="L130" s="7">
        <f>COUNTIF(Seguimientos!$A$2:$A$1013,A130)</f>
        <v/>
      </c>
      <c r="M130" s="7">
        <f>SUMPRODUCT(MAX((Seguimientos!$A$2:$A$1013=A130)*(Seguimientos!$H$2:$H$1013&lt;&gt;"")*Seguimientos!$B$2:$B$1013))</f>
        <v/>
      </c>
      <c r="N130" s="8">
        <f>IF(M130=0,"",INDEX(Seguimientos!$F$2:$F$1013,MATCH(A130&amp;"|"&amp;M130,Seguimientos!$K$2:$K$1013,0)))</f>
        <v/>
      </c>
      <c r="O130" s="14">
        <f>IF(M130=0,0,INDEX(Seguimientos!$H$2:$H$1013,MATCH(A130&amp;"|"&amp;M130,Seguimientos!$K$2:$K$1013,0)))</f>
        <v/>
      </c>
      <c r="P130" s="9">
        <f>O130/2</f>
        <v/>
      </c>
      <c r="Q130" s="7">
        <f>INDEX(Escala!$B$2:$B$6,MATCH(O130,Escala!$A$2:$A$6,0))</f>
        <v/>
      </c>
      <c r="R130" s="7">
        <f>IF(O130=2,"Sí","No")</f>
        <v/>
      </c>
      <c r="S130" s="7">
        <f>IF(O130=0,"Sí","No")</f>
        <v/>
      </c>
      <c r="T130" s="7">
        <f>IF(AND(ISNUMBER(K130),O130&lt;2),IF(K130&lt;INDEX('Por sistema'!$D$5:$D$9,MATCH(B130,'Por sistema'!$A$5:$A$9,0)),"Sí","No"),"No")</f>
        <v/>
      </c>
    </row>
    <row r="131">
      <c r="A131" s="7" t="inlineStr">
        <is>
          <t>sgsst-2024-10</t>
        </is>
      </c>
      <c r="B131" s="7" t="inlineStr">
        <is>
          <t>SG-SST</t>
        </is>
      </c>
      <c r="C131" s="7" t="inlineStr">
        <is>
          <t>Seguridad y Salud en el Trabajo</t>
        </is>
      </c>
      <c r="D131" s="7" t="inlineStr">
        <is>
          <t>2024</t>
        </is>
      </c>
      <c r="E131" s="7" t="n">
        <v>10</v>
      </c>
      <c r="F131" s="13" t="inlineStr">
        <is>
          <t>Establecer lineamiento para la exigencia de cumplimiento del uso de EPP para los estudiantes en los espacios académicos que los requieran.</t>
        </is>
      </c>
      <c r="G131" s="13" t="inlineStr">
        <is>
          <t>Vicerrectoría Académica, SG SST</t>
        </is>
      </c>
      <c r="H131" s="13" t="inlineStr">
        <is>
          <t>Seguridad y Salud en el Trabajo, Vicerrectoría Académica</t>
        </is>
      </c>
      <c r="I131" s="13" t="inlineStr">
        <is>
          <t>Acta de reunión</t>
        </is>
      </c>
      <c r="J131" s="13" t="inlineStr">
        <is>
          <t>II PA 2025 31deAgosto</t>
        </is>
      </c>
      <c r="K131" s="8" t="n"/>
      <c r="L131" s="7">
        <f>COUNTIF(Seguimientos!$A$2:$A$1013,A131)</f>
        <v/>
      </c>
      <c r="M131" s="7">
        <f>SUMPRODUCT(MAX((Seguimientos!$A$2:$A$1013=A131)*(Seguimientos!$H$2:$H$1013&lt;&gt;"")*Seguimientos!$B$2:$B$1013))</f>
        <v/>
      </c>
      <c r="N131" s="8">
        <f>IF(M131=0,"",INDEX(Seguimientos!$F$2:$F$1013,MATCH(A131&amp;"|"&amp;M131,Seguimientos!$K$2:$K$1013,0)))</f>
        <v/>
      </c>
      <c r="O131" s="14">
        <f>IF(M131=0,0,INDEX(Seguimientos!$H$2:$H$1013,MATCH(A131&amp;"|"&amp;M131,Seguimientos!$K$2:$K$1013,0)))</f>
        <v/>
      </c>
      <c r="P131" s="9">
        <f>O131/2</f>
        <v/>
      </c>
      <c r="Q131" s="7">
        <f>INDEX(Escala!$B$2:$B$6,MATCH(O131,Escala!$A$2:$A$6,0))</f>
        <v/>
      </c>
      <c r="R131" s="7">
        <f>IF(O131=2,"Sí","No")</f>
        <v/>
      </c>
      <c r="S131" s="7">
        <f>IF(O131=0,"Sí","No")</f>
        <v/>
      </c>
      <c r="T131" s="7">
        <f>IF(AND(ISNUMBER(K131),O131&lt;2),IF(K131&lt;INDEX('Por sistema'!$D$5:$D$9,MATCH(B131,'Por sistema'!$A$5:$A$9,0)),"Sí","No"),"No")</f>
        <v/>
      </c>
    </row>
    <row r="132">
      <c r="A132" s="7" t="inlineStr">
        <is>
          <t>sgsst-2024-11</t>
        </is>
      </c>
      <c r="B132" s="7" t="inlineStr">
        <is>
          <t>SG-SST</t>
        </is>
      </c>
      <c r="C132" s="7" t="inlineStr">
        <is>
          <t>Seguridad y Salud en el Trabajo</t>
        </is>
      </c>
      <c r="D132" s="7" t="inlineStr">
        <is>
          <t>2024</t>
        </is>
      </c>
      <c r="E132" s="7" t="n">
        <v>11</v>
      </c>
      <c r="F132" s="13" t="inlineStr">
        <is>
          <t>Aprobación de presupuesto para implementar los cambios del SG-SST relacionados con la enmienda de cambio climático para capacitación, actualización de infraestructura, asesoramiento técnico y adquisición de recursos sostenibles.</t>
        </is>
      </c>
      <c r="G132" s="13" t="inlineStr">
        <is>
          <t>Alta Dirección, Planeación Institucional, Sistemas Integrados</t>
        </is>
      </c>
      <c r="H132" s="13" t="inlineStr">
        <is>
          <t>Alta Dirección, Planeación Institucional</t>
        </is>
      </c>
      <c r="I132" s="13" t="inlineStr">
        <is>
          <t>Proyectos priorizados -asignación presupuestal</t>
        </is>
      </c>
      <c r="J132" s="13" t="inlineStr">
        <is>
          <t>II PA 2025 31de Agosto</t>
        </is>
      </c>
      <c r="K132" s="8" t="n"/>
      <c r="L132" s="7">
        <f>COUNTIF(Seguimientos!$A$2:$A$1013,A132)</f>
        <v/>
      </c>
      <c r="M132" s="7">
        <f>SUMPRODUCT(MAX((Seguimientos!$A$2:$A$1013=A132)*(Seguimientos!$H$2:$H$1013&lt;&gt;"")*Seguimientos!$B$2:$B$1013))</f>
        <v/>
      </c>
      <c r="N132" s="8">
        <f>IF(M132=0,"",INDEX(Seguimientos!$F$2:$F$1013,MATCH(A132&amp;"|"&amp;M132,Seguimientos!$K$2:$K$1013,0)))</f>
        <v/>
      </c>
      <c r="O132" s="14">
        <f>IF(M132=0,0,INDEX(Seguimientos!$H$2:$H$1013,MATCH(A132&amp;"|"&amp;M132,Seguimientos!$K$2:$K$1013,0)))</f>
        <v/>
      </c>
      <c r="P132" s="9">
        <f>O132/2</f>
        <v/>
      </c>
      <c r="Q132" s="7">
        <f>INDEX(Escala!$B$2:$B$6,MATCH(O132,Escala!$A$2:$A$6,0))</f>
        <v/>
      </c>
      <c r="R132" s="7">
        <f>IF(O132=2,"Sí","No")</f>
        <v/>
      </c>
      <c r="S132" s="7">
        <f>IF(O132=0,"Sí","No")</f>
        <v/>
      </c>
      <c r="T132" s="7">
        <f>IF(AND(ISNUMBER(K132),O132&lt;2),IF(K132&lt;INDEX('Por sistema'!$D$5:$D$9,MATCH(B132,'Por sistema'!$A$5:$A$9,0)),"Sí","No"),"No")</f>
        <v/>
      </c>
    </row>
    <row r="133">
      <c r="A133" s="7" t="inlineStr">
        <is>
          <t>sgsst-2025-1</t>
        </is>
      </c>
      <c r="B133" s="7" t="inlineStr">
        <is>
          <t>SG-SST</t>
        </is>
      </c>
      <c r="C133" s="7" t="inlineStr">
        <is>
          <t>Seguridad y Salud en el Trabajo</t>
        </is>
      </c>
      <c r="D133" s="7" t="inlineStr">
        <is>
          <t>2025</t>
        </is>
      </c>
      <c r="E133" s="7" t="n">
        <v>1</v>
      </c>
      <c r="F133" s="13" t="inlineStr">
        <is>
          <t>Aprobar contratación de personal calificado para actividades eléctricas - Unidad Regional Facatativá</t>
        </is>
      </c>
      <c r="G133" s="13" t="inlineStr">
        <is>
          <t>VICERECTORIA ADMINISTRATIVA</t>
        </is>
      </c>
      <c r="H133" s="13" t="inlineStr">
        <is>
          <t>Vicerrectoría Administrativa y Financiera</t>
        </is>
      </c>
      <c r="I133" s="13" t="inlineStr">
        <is>
          <t>CONTRATO DE PERSONAL</t>
        </is>
      </c>
      <c r="J133" s="13" t="inlineStr">
        <is>
          <t>31/03/2026</t>
        </is>
      </c>
      <c r="K133" s="8" t="n">
        <v>46112</v>
      </c>
      <c r="L133" s="7">
        <f>COUNTIF(Seguimientos!$A$2:$A$1013,A133)</f>
        <v/>
      </c>
      <c r="M133" s="7">
        <f>SUMPRODUCT(MAX((Seguimientos!$A$2:$A$1013=A133)*(Seguimientos!$H$2:$H$1013&lt;&gt;"")*Seguimientos!$B$2:$B$1013))</f>
        <v/>
      </c>
      <c r="N133" s="8">
        <f>IF(M133=0,"",INDEX(Seguimientos!$F$2:$F$1013,MATCH(A133&amp;"|"&amp;M133,Seguimientos!$K$2:$K$1013,0)))</f>
        <v/>
      </c>
      <c r="O133" s="14">
        <f>IF(M133=0,0,INDEX(Seguimientos!$H$2:$H$1013,MATCH(A133&amp;"|"&amp;M133,Seguimientos!$K$2:$K$1013,0)))</f>
        <v/>
      </c>
      <c r="P133" s="9">
        <f>O133/2</f>
        <v/>
      </c>
      <c r="Q133" s="7">
        <f>INDEX(Escala!$B$2:$B$6,MATCH(O133,Escala!$A$2:$A$6,0))</f>
        <v/>
      </c>
      <c r="R133" s="7">
        <f>IF(O133=2,"Sí","No")</f>
        <v/>
      </c>
      <c r="S133" s="7">
        <f>IF(O133=0,"Sí","No")</f>
        <v/>
      </c>
      <c r="T133" s="7">
        <f>IF(AND(ISNUMBER(K133),O133&lt;2),IF(K133&lt;INDEX('Por sistema'!$D$5:$D$9,MATCH(B133,'Por sistema'!$A$5:$A$9,0)),"Sí","No"),"No")</f>
        <v/>
      </c>
    </row>
    <row r="134">
      <c r="A134" s="7" t="inlineStr">
        <is>
          <t>sgsst-2025-2</t>
        </is>
      </c>
      <c r="B134" s="7" t="inlineStr">
        <is>
          <t>SG-SST</t>
        </is>
      </c>
      <c r="C134" s="7" t="inlineStr">
        <is>
          <t>Seguridad y Salud en el Trabajo</t>
        </is>
      </c>
      <c r="D134" s="7" t="inlineStr">
        <is>
          <t>2025</t>
        </is>
      </c>
      <c r="E134" s="7" t="n">
        <v>2</v>
      </c>
      <c r="F134" s="13" t="inlineStr">
        <is>
          <t>Aprobar la ampliación de los contratos del personal de los laboratorios que manejen sustancias químicas (Facatativá, Ubaté y Fusagasugá).</t>
        </is>
      </c>
      <c r="G134" s="13" t="inlineStr">
        <is>
          <t>VICERECTORIA ADMINISTRATIVA</t>
        </is>
      </c>
      <c r="H134" s="13" t="inlineStr">
        <is>
          <t>Vicerrectoría Administrativa y Financiera</t>
        </is>
      </c>
      <c r="I134" s="13" t="inlineStr">
        <is>
          <t>CONTRATO DE PERSONAL</t>
        </is>
      </c>
      <c r="J134" s="13" t="inlineStr">
        <is>
          <t>31/03/2026</t>
        </is>
      </c>
      <c r="K134" s="8" t="n">
        <v>46112</v>
      </c>
      <c r="L134" s="7">
        <f>COUNTIF(Seguimientos!$A$2:$A$1013,A134)</f>
        <v/>
      </c>
      <c r="M134" s="7">
        <f>SUMPRODUCT(MAX((Seguimientos!$A$2:$A$1013=A134)*(Seguimientos!$H$2:$H$1013&lt;&gt;"")*Seguimientos!$B$2:$B$1013))</f>
        <v/>
      </c>
      <c r="N134" s="8">
        <f>IF(M134=0,"",INDEX(Seguimientos!$F$2:$F$1013,MATCH(A134&amp;"|"&amp;M134,Seguimientos!$K$2:$K$1013,0)))</f>
        <v/>
      </c>
      <c r="O134" s="14">
        <f>IF(M134=0,0,INDEX(Seguimientos!$H$2:$H$1013,MATCH(A134&amp;"|"&amp;M134,Seguimientos!$K$2:$K$1013,0)))</f>
        <v/>
      </c>
      <c r="P134" s="9">
        <f>O134/2</f>
        <v/>
      </c>
      <c r="Q134" s="7">
        <f>INDEX(Escala!$B$2:$B$6,MATCH(O134,Escala!$A$2:$A$6,0))</f>
        <v/>
      </c>
      <c r="R134" s="7">
        <f>IF(O134=2,"Sí","No")</f>
        <v/>
      </c>
      <c r="S134" s="7">
        <f>IF(O134=0,"Sí","No")</f>
        <v/>
      </c>
      <c r="T134" s="7">
        <f>IF(AND(ISNUMBER(K134),O134&lt;2),IF(K134&lt;INDEX('Por sistema'!$D$5:$D$9,MATCH(B134,'Por sistema'!$A$5:$A$9,0)),"Sí","No"),"No")</f>
        <v/>
      </c>
    </row>
    <row r="135">
      <c r="A135" s="7" t="inlineStr">
        <is>
          <t>sgsst-2025-3</t>
        </is>
      </c>
      <c r="B135" s="7" t="inlineStr">
        <is>
          <t>SG-SST</t>
        </is>
      </c>
      <c r="C135" s="7" t="inlineStr">
        <is>
          <t>Seguridad y Salud en el Trabajo</t>
        </is>
      </c>
      <c r="D135" s="7" t="inlineStr">
        <is>
          <t>2025</t>
        </is>
      </c>
      <c r="E135" s="7" t="n">
        <v>3</v>
      </c>
      <c r="F135" s="13" t="inlineStr">
        <is>
          <t>La alta dirección debe confirmar si el Sistema de Gestión de Seguridad y Salud en el Trabajo es conviente.</t>
        </is>
      </c>
      <c r="G135" s="13" t="inlineStr">
        <is>
          <t>ALTA DIRECCIÓN MIEMBROS COMITEC SAC DIRECCIÓN DE PLANEACIÓN</t>
        </is>
      </c>
      <c r="H135" s="13" t="inlineStr">
        <is>
          <t>Alta Dirección, Planeación Institucional</t>
        </is>
      </c>
      <c r="I135" s="13" t="inlineStr">
        <is>
          <t>ACTA DE RXD</t>
        </is>
      </c>
      <c r="J135" s="13" t="inlineStr">
        <is>
          <t>31/03/2026</t>
        </is>
      </c>
      <c r="K135" s="8" t="n">
        <v>46112</v>
      </c>
      <c r="L135" s="7">
        <f>COUNTIF(Seguimientos!$A$2:$A$1013,A135)</f>
        <v/>
      </c>
      <c r="M135" s="7">
        <f>SUMPRODUCT(MAX((Seguimientos!$A$2:$A$1013=A135)*(Seguimientos!$H$2:$H$1013&lt;&gt;"")*Seguimientos!$B$2:$B$1013))</f>
        <v/>
      </c>
      <c r="N135" s="8">
        <f>IF(M135=0,"",INDEX(Seguimientos!$F$2:$F$1013,MATCH(A135&amp;"|"&amp;M135,Seguimientos!$K$2:$K$1013,0)))</f>
        <v/>
      </c>
      <c r="O135" s="14">
        <f>IF(M135=0,0,INDEX(Seguimientos!$H$2:$H$1013,MATCH(A135&amp;"|"&amp;M135,Seguimientos!$K$2:$K$1013,0)))</f>
        <v/>
      </c>
      <c r="P135" s="9">
        <f>O135/2</f>
        <v/>
      </c>
      <c r="Q135" s="7">
        <f>INDEX(Escala!$B$2:$B$6,MATCH(O135,Escala!$A$2:$A$6,0))</f>
        <v/>
      </c>
      <c r="R135" s="7">
        <f>IF(O135=2,"Sí","No")</f>
        <v/>
      </c>
      <c r="S135" s="7">
        <f>IF(O135=0,"Sí","No")</f>
        <v/>
      </c>
      <c r="T135" s="7">
        <f>IF(AND(ISNUMBER(K135),O135&lt;2),IF(K135&lt;INDEX('Por sistema'!$D$5:$D$9,MATCH(B135,'Por sistema'!$A$5:$A$9,0)),"Sí","No"),"No")</f>
        <v/>
      </c>
    </row>
    <row r="136">
      <c r="A136" s="7" t="inlineStr">
        <is>
          <t>sgsst-2025-4</t>
        </is>
      </c>
      <c r="B136" s="7" t="inlineStr">
        <is>
          <t>SG-SST</t>
        </is>
      </c>
      <c r="C136" s="7" t="inlineStr">
        <is>
          <t>Seguridad y Salud en el Trabajo</t>
        </is>
      </c>
      <c r="D136" s="7" t="inlineStr">
        <is>
          <t>2025</t>
        </is>
      </c>
      <c r="E136" s="7" t="n">
        <v>4</v>
      </c>
      <c r="F136" s="13" t="inlineStr">
        <is>
          <t>La alta dirección debe confirmar el Sistema de Gestión de Seguridad y Salud en el Trabajo es eficaz.</t>
        </is>
      </c>
      <c r="G136" s="13" t="inlineStr">
        <is>
          <t>ALTA DIRECCIÓN MIEMBROS COMITEC SAC DIRECCIÓN DE PLANEACIÓN</t>
        </is>
      </c>
      <c r="H136" s="13" t="inlineStr">
        <is>
          <t>Alta Dirección, Planeación Institucional</t>
        </is>
      </c>
      <c r="I136" s="13" t="inlineStr">
        <is>
          <t>ACTA DE RXD</t>
        </is>
      </c>
      <c r="J136" s="13" t="inlineStr">
        <is>
          <t>31/03/2026</t>
        </is>
      </c>
      <c r="K136" s="8" t="n">
        <v>46112</v>
      </c>
      <c r="L136" s="7">
        <f>COUNTIF(Seguimientos!$A$2:$A$1013,A136)</f>
        <v/>
      </c>
      <c r="M136" s="7">
        <f>SUMPRODUCT(MAX((Seguimientos!$A$2:$A$1013=A136)*(Seguimientos!$H$2:$H$1013&lt;&gt;"")*Seguimientos!$B$2:$B$1013))</f>
        <v/>
      </c>
      <c r="N136" s="8">
        <f>IF(M136=0,"",INDEX(Seguimientos!$F$2:$F$1013,MATCH(A136&amp;"|"&amp;M136,Seguimientos!$K$2:$K$1013,0)))</f>
        <v/>
      </c>
      <c r="O136" s="14">
        <f>IF(M136=0,0,INDEX(Seguimientos!$H$2:$H$1013,MATCH(A136&amp;"|"&amp;M136,Seguimientos!$K$2:$K$1013,0)))</f>
        <v/>
      </c>
      <c r="P136" s="9">
        <f>O136/2</f>
        <v/>
      </c>
      <c r="Q136" s="7">
        <f>INDEX(Escala!$B$2:$B$6,MATCH(O136,Escala!$A$2:$A$6,0))</f>
        <v/>
      </c>
      <c r="R136" s="7">
        <f>IF(O136=2,"Sí","No")</f>
        <v/>
      </c>
      <c r="S136" s="7">
        <f>IF(O136=0,"Sí","No")</f>
        <v/>
      </c>
      <c r="T136" s="7">
        <f>IF(AND(ISNUMBER(K136),O136&lt;2),IF(K136&lt;INDEX('Por sistema'!$D$5:$D$9,MATCH(B136,'Por sistema'!$A$5:$A$9,0)),"Sí","No"),"No")</f>
        <v/>
      </c>
    </row>
    <row r="137">
      <c r="A137" s="7" t="inlineStr">
        <is>
          <t>sgsst-2025-5</t>
        </is>
      </c>
      <c r="B137" s="7" t="inlineStr">
        <is>
          <t>SG-SST</t>
        </is>
      </c>
      <c r="C137" s="7" t="inlineStr">
        <is>
          <t>Seguridad y Salud en el Trabajo</t>
        </is>
      </c>
      <c r="D137" s="7" t="inlineStr">
        <is>
          <t>2025</t>
        </is>
      </c>
      <c r="E137" s="7" t="n">
        <v>5</v>
      </c>
      <c r="F137" s="13" t="inlineStr">
        <is>
          <t>La alta dirección debe confirmar si el Sistema de Gestión de Seguridad y Salud en el Trabajo es pertienente.</t>
        </is>
      </c>
      <c r="G137" s="13" t="inlineStr">
        <is>
          <t>ALTA DIRECCIÓN MIEMBROS COMITEC SAC DIRECCIÓN DE PLANEACIÓN</t>
        </is>
      </c>
      <c r="H137" s="13" t="inlineStr">
        <is>
          <t>Alta Dirección, Planeación Institucional</t>
        </is>
      </c>
      <c r="I137" s="13" t="inlineStr">
        <is>
          <t>ACTA DE RXD</t>
        </is>
      </c>
      <c r="J137" s="13" t="inlineStr">
        <is>
          <t>31/03/2026</t>
        </is>
      </c>
      <c r="K137" s="8" t="n">
        <v>46112</v>
      </c>
      <c r="L137" s="7">
        <f>COUNTIF(Seguimientos!$A$2:$A$1013,A137)</f>
        <v/>
      </c>
      <c r="M137" s="7">
        <f>SUMPRODUCT(MAX((Seguimientos!$A$2:$A$1013=A137)*(Seguimientos!$H$2:$H$1013&lt;&gt;"")*Seguimientos!$B$2:$B$1013))</f>
        <v/>
      </c>
      <c r="N137" s="8">
        <f>IF(M137=0,"",INDEX(Seguimientos!$F$2:$F$1013,MATCH(A137&amp;"|"&amp;M137,Seguimientos!$K$2:$K$1013,0)))</f>
        <v/>
      </c>
      <c r="O137" s="14">
        <f>IF(M137=0,0,INDEX(Seguimientos!$H$2:$H$1013,MATCH(A137&amp;"|"&amp;M137,Seguimientos!$K$2:$K$1013,0)))</f>
        <v/>
      </c>
      <c r="P137" s="9">
        <f>O137/2</f>
        <v/>
      </c>
      <c r="Q137" s="7">
        <f>INDEX(Escala!$B$2:$B$6,MATCH(O137,Escala!$A$2:$A$6,0))</f>
        <v/>
      </c>
      <c r="R137" s="7">
        <f>IF(O137=2,"Sí","No")</f>
        <v/>
      </c>
      <c r="S137" s="7">
        <f>IF(O137=0,"Sí","No")</f>
        <v/>
      </c>
      <c r="T137" s="7">
        <f>IF(AND(ISNUMBER(K137),O137&lt;2),IF(K137&lt;INDEX('Por sistema'!$D$5:$D$9,MATCH(B137,'Por sistema'!$A$5:$A$9,0)),"Sí","No"),"No")</f>
        <v/>
      </c>
    </row>
    <row r="138">
      <c r="A138" s="7" t="inlineStr">
        <is>
          <t>sgsst-2025-6</t>
        </is>
      </c>
      <c r="B138" s="7" t="inlineStr">
        <is>
          <t>SG-SST</t>
        </is>
      </c>
      <c r="C138" s="7" t="inlineStr">
        <is>
          <t>Seguridad y Salud en el Trabajo</t>
        </is>
      </c>
      <c r="D138" s="7" t="inlineStr">
        <is>
          <t>2025</t>
        </is>
      </c>
      <c r="E138" s="7" t="n">
        <v>6</v>
      </c>
      <c r="F138" s="13" t="inlineStr">
        <is>
          <t>La alta dirección debe evaluar y definir si la política y objetivos de los Sistemas de Gestión, son apropiados.</t>
        </is>
      </c>
      <c r="G138" s="13" t="inlineStr">
        <is>
          <t>ALTA DIRECCIÓN MIEMBROS COMITEC SAC DIRECCIÓN DE PLANEACIÓN</t>
        </is>
      </c>
      <c r="H138" s="13" t="inlineStr">
        <is>
          <t>Alta Dirección, Planeación Institucional</t>
        </is>
      </c>
      <c r="I138" s="13" t="inlineStr">
        <is>
          <t>ACTA DE RXD</t>
        </is>
      </c>
      <c r="J138" s="13" t="inlineStr">
        <is>
          <t>31/03/2026</t>
        </is>
      </c>
      <c r="K138" s="8" t="n">
        <v>46112</v>
      </c>
      <c r="L138" s="7">
        <f>COUNTIF(Seguimientos!$A$2:$A$1013,A138)</f>
        <v/>
      </c>
      <c r="M138" s="7">
        <f>SUMPRODUCT(MAX((Seguimientos!$A$2:$A$1013=A138)*(Seguimientos!$H$2:$H$1013&lt;&gt;"")*Seguimientos!$B$2:$B$1013))</f>
        <v/>
      </c>
      <c r="N138" s="8">
        <f>IF(M138=0,"",INDEX(Seguimientos!$F$2:$F$1013,MATCH(A138&amp;"|"&amp;M138,Seguimientos!$K$2:$K$1013,0)))</f>
        <v/>
      </c>
      <c r="O138" s="14">
        <f>IF(M138=0,0,INDEX(Seguimientos!$H$2:$H$1013,MATCH(A138&amp;"|"&amp;M138,Seguimientos!$K$2:$K$1013,0)))</f>
        <v/>
      </c>
      <c r="P138" s="9">
        <f>O138/2</f>
        <v/>
      </c>
      <c r="Q138" s="7">
        <f>INDEX(Escala!$B$2:$B$6,MATCH(O138,Escala!$A$2:$A$6,0))</f>
        <v/>
      </c>
      <c r="R138" s="7">
        <f>IF(O138=2,"Sí","No")</f>
        <v/>
      </c>
      <c r="S138" s="7">
        <f>IF(O138=0,"Sí","No")</f>
        <v/>
      </c>
      <c r="T138" s="7">
        <f>IF(AND(ISNUMBER(K138),O138&lt;2),IF(K138&lt;INDEX('Por sistema'!$D$5:$D$9,MATCH(B138,'Por sistema'!$A$5:$A$9,0)),"Sí","No"),"No")</f>
        <v/>
      </c>
    </row>
    <row r="139">
      <c r="A139" s="7" t="inlineStr">
        <is>
          <t>sgsst-2025-7</t>
        </is>
      </c>
      <c r="B139" s="7" t="inlineStr">
        <is>
          <t>SG-SST</t>
        </is>
      </c>
      <c r="C139" s="7" t="inlineStr">
        <is>
          <t>Seguridad y Salud en el Trabajo</t>
        </is>
      </c>
      <c r="D139" s="7" t="inlineStr">
        <is>
          <t>2025</t>
        </is>
      </c>
      <c r="E139" s="7" t="n">
        <v>7</v>
      </c>
      <c r="F139" s="13" t="inlineStr">
        <is>
          <t>Elaborar un tablero de control que permita comparar los datos de cada sistema de Gestión en las diferencias vigencias.</t>
        </is>
      </c>
      <c r="G139" s="13" t="inlineStr">
        <is>
          <t>Dirección de Sistemas y Tecnología</t>
        </is>
      </c>
      <c r="H139" s="13" t="inlineStr">
        <is>
          <t>Sistemas y Tecnología</t>
        </is>
      </c>
      <c r="I139" s="13" t="inlineStr">
        <is>
          <t>TABLERO DE DATOS</t>
        </is>
      </c>
      <c r="J139" s="13" t="inlineStr">
        <is>
          <t>30/10/2026</t>
        </is>
      </c>
      <c r="K139" s="8" t="n">
        <v>46325</v>
      </c>
      <c r="L139" s="7">
        <f>COUNTIF(Seguimientos!$A$2:$A$1013,A139)</f>
        <v/>
      </c>
      <c r="M139" s="7">
        <f>SUMPRODUCT(MAX((Seguimientos!$A$2:$A$1013=A139)*(Seguimientos!$H$2:$H$1013&lt;&gt;"")*Seguimientos!$B$2:$B$1013))</f>
        <v/>
      </c>
      <c r="N139" s="8">
        <f>IF(M139=0,"",INDEX(Seguimientos!$F$2:$F$1013,MATCH(A139&amp;"|"&amp;M139,Seguimientos!$K$2:$K$1013,0)))</f>
        <v/>
      </c>
      <c r="O139" s="14">
        <f>IF(M139=0,0,INDEX(Seguimientos!$H$2:$H$1013,MATCH(A139&amp;"|"&amp;M139,Seguimientos!$K$2:$K$1013,0)))</f>
        <v/>
      </c>
      <c r="P139" s="9">
        <f>O139/2</f>
        <v/>
      </c>
      <c r="Q139" s="7">
        <f>INDEX(Escala!$B$2:$B$6,MATCH(O139,Escala!$A$2:$A$6,0))</f>
        <v/>
      </c>
      <c r="R139" s="7">
        <f>IF(O139=2,"Sí","No")</f>
        <v/>
      </c>
      <c r="S139" s="7">
        <f>IF(O139=0,"Sí","No")</f>
        <v/>
      </c>
      <c r="T139" s="7">
        <f>IF(AND(ISNUMBER(K139),O139&lt;2),IF(K139&lt;INDEX('Por sistema'!$D$5:$D$9,MATCH(B139,'Por sistema'!$A$5:$A$9,0)),"Sí","No"),"No")</f>
        <v/>
      </c>
    </row>
    <row r="140">
      <c r="A140" s="7" t="inlineStr">
        <is>
          <t>sgsi-2023-1</t>
        </is>
      </c>
      <c r="B140" s="7" t="inlineStr">
        <is>
          <t>SGSI</t>
        </is>
      </c>
      <c r="C140" s="7" t="inlineStr">
        <is>
          <t>Seguridad de la Información</t>
        </is>
      </c>
      <c r="D140" s="7" t="inlineStr">
        <is>
          <t>2023</t>
        </is>
      </c>
      <c r="E140" s="7" t="n">
        <v>1</v>
      </c>
      <c r="F140" s="13" t="inlineStr">
        <is>
          <t>Atendiendo la decisión adoptada en la sesión ordinaria de la Comisión de Gestión del 28 de abril de 2023, la ingeniera María del Pilar Delgado Rodriguez – Coordinadora del Sistema de Gestión de Seguridad de la Información – SGSI, deberá realizar el curso de certificación en la norma ISO 27001:2022.</t>
        </is>
      </c>
      <c r="G140" s="13" t="inlineStr">
        <is>
          <t>Sistema de Gestión de Seguridad de la Información - SGSI</t>
        </is>
      </c>
      <c r="H140" s="13" t="inlineStr">
        <is>
          <t>Seguridad de la Información</t>
        </is>
      </c>
      <c r="I140" s="13" t="inlineStr">
        <is>
          <t>Informe con la transición de los controles del Anexo A</t>
        </is>
      </c>
      <c r="J140" s="13" t="inlineStr">
        <is>
          <t>45595</t>
        </is>
      </c>
      <c r="K140" s="8" t="n">
        <v>45595</v>
      </c>
      <c r="L140" s="7">
        <f>COUNTIF(Seguimientos!$A$2:$A$1013,A140)</f>
        <v/>
      </c>
      <c r="M140" s="7">
        <f>SUMPRODUCT(MAX((Seguimientos!$A$2:$A$1013=A140)*(Seguimientos!$H$2:$H$1013&lt;&gt;"")*Seguimientos!$B$2:$B$1013))</f>
        <v/>
      </c>
      <c r="N140" s="8">
        <f>IF(M140=0,"",INDEX(Seguimientos!$F$2:$F$1013,MATCH(A140&amp;"|"&amp;M140,Seguimientos!$K$2:$K$1013,0)))</f>
        <v/>
      </c>
      <c r="O140" s="14">
        <f>IF(M140=0,0,INDEX(Seguimientos!$H$2:$H$1013,MATCH(A140&amp;"|"&amp;M140,Seguimientos!$K$2:$K$1013,0)))</f>
        <v/>
      </c>
      <c r="P140" s="9">
        <f>O140/2</f>
        <v/>
      </c>
      <c r="Q140" s="7">
        <f>INDEX(Escala!$B$2:$B$6,MATCH(O140,Escala!$A$2:$A$6,0))</f>
        <v/>
      </c>
      <c r="R140" s="7">
        <f>IF(O140=2,"Sí","No")</f>
        <v/>
      </c>
      <c r="S140" s="7">
        <f>IF(O140=0,"Sí","No")</f>
        <v/>
      </c>
      <c r="T140" s="7">
        <f>IF(AND(ISNUMBER(K140),O140&lt;2),IF(K140&lt;INDEX('Por sistema'!$D$5:$D$9,MATCH(B140,'Por sistema'!$A$5:$A$9,0)),"Sí","No"),"No")</f>
        <v/>
      </c>
    </row>
    <row r="141">
      <c r="A141" s="7" t="inlineStr">
        <is>
          <t>sgsi-2023-2</t>
        </is>
      </c>
      <c r="B141" s="7" t="inlineStr">
        <is>
          <t>SGSI</t>
        </is>
      </c>
      <c r="C141" s="7" t="inlineStr">
        <is>
          <t>Seguridad de la Información</t>
        </is>
      </c>
      <c r="D141" s="7" t="inlineStr">
        <is>
          <t>2023</t>
        </is>
      </c>
      <c r="E141" s="7" t="n">
        <v>2</v>
      </c>
      <c r="F141" s="13" t="inlineStr">
        <is>
          <t>Atendiendo la decisión adoptada en la Revisión por la Dirección del 11 de diciembre de 2023, en épocas de matrícula permanecerá el bloqueo para asegurar que los titulares (estudiantes) realicen la gestión del documento “Autorización para el Tratamiento de Datos Personales” en cumplimiento al Artículo 9. Autorización de la ley 1581 de 2012.</t>
        </is>
      </c>
      <c r="G141" s="13" t="inlineStr">
        <is>
          <t>Sistema de Gestión de Seguridad de la Información - SGSI / Dirección de Sistemas y Tecnología /Oficina de Admisiones y Registro</t>
        </is>
      </c>
      <c r="H141" s="13" t="inlineStr">
        <is>
          <t>Sistemas y Tecnología, Seguridad de la Información, Admisiones y Registro</t>
        </is>
      </c>
      <c r="I141" s="13" t="inlineStr">
        <is>
          <t>Informe del estado de las Autorizaciones para el Tratamiento de Datos Personales de los Titulares de la Universidad de Cundinamarca</t>
        </is>
      </c>
      <c r="J141" s="13" t="inlineStr">
        <is>
          <t>Informe trimestral</t>
        </is>
      </c>
      <c r="K141" s="8" t="n"/>
      <c r="L141" s="7">
        <f>COUNTIF(Seguimientos!$A$2:$A$1013,A141)</f>
        <v/>
      </c>
      <c r="M141" s="7">
        <f>SUMPRODUCT(MAX((Seguimientos!$A$2:$A$1013=A141)*(Seguimientos!$H$2:$H$1013&lt;&gt;"")*Seguimientos!$B$2:$B$1013))</f>
        <v/>
      </c>
      <c r="N141" s="8">
        <f>IF(M141=0,"",INDEX(Seguimientos!$F$2:$F$1013,MATCH(A141&amp;"|"&amp;M141,Seguimientos!$K$2:$K$1013,0)))</f>
        <v/>
      </c>
      <c r="O141" s="14">
        <f>IF(M141=0,0,INDEX(Seguimientos!$H$2:$H$1013,MATCH(A141&amp;"|"&amp;M141,Seguimientos!$K$2:$K$1013,0)))</f>
        <v/>
      </c>
      <c r="P141" s="9">
        <f>O141/2</f>
        <v/>
      </c>
      <c r="Q141" s="7">
        <f>INDEX(Escala!$B$2:$B$6,MATCH(O141,Escala!$A$2:$A$6,0))</f>
        <v/>
      </c>
      <c r="R141" s="7">
        <f>IF(O141=2,"Sí","No")</f>
        <v/>
      </c>
      <c r="S141" s="7">
        <f>IF(O141=0,"Sí","No")</f>
        <v/>
      </c>
      <c r="T141" s="7">
        <f>IF(AND(ISNUMBER(K141),O141&lt;2),IF(K141&lt;INDEX('Por sistema'!$D$5:$D$9,MATCH(B141,'Por sistema'!$A$5:$A$9,0)),"Sí","No"),"No")</f>
        <v/>
      </c>
    </row>
    <row r="142">
      <c r="A142" s="7" t="inlineStr">
        <is>
          <t>sgsi-2023-3</t>
        </is>
      </c>
      <c r="B142" s="7" t="inlineStr">
        <is>
          <t>SGSI</t>
        </is>
      </c>
      <c r="C142" s="7" t="inlineStr">
        <is>
          <t>Seguridad de la Información</t>
        </is>
      </c>
      <c r="D142" s="7" t="inlineStr">
        <is>
          <t>2023</t>
        </is>
      </c>
      <c r="E142" s="7" t="n">
        <v>3</v>
      </c>
      <c r="F142" s="13" t="inlineStr">
        <is>
          <t>Atendiendo la decisión adoptada en la Revisión por la Dirección del 11 de diciembre de 2023, se deberá realizar la nueva versión del Campo Multidimensional de Aprendizaje del Sistema de Gestión de Seguridad de la Información – SGSI, que deben cursar los funcionarios administrativos y docentes, con el fin de que apropien los conceptos de seguridad y privacidad de la información.</t>
        </is>
      </c>
      <c r="G142" s="13" t="inlineStr">
        <is>
          <t>Sistema de Gestión de Seguridad de la Información - SGSI / Escuela de Formación y Aprendizaje Docente EFAD / Oficina de Educación Virtual y a Distancia</t>
        </is>
      </c>
      <c r="H142" s="13" t="inlineStr">
        <is>
          <t>Seguridad de la Información, Educación Virtual y EFAD</t>
        </is>
      </c>
      <c r="I142" s="13" t="inlineStr">
        <is>
          <t>Habilitación de la nueva versión del Campo Multidimensional de Aprendizaje del Sistema de Gestión de Seguridad de la Información – SGSI</t>
        </is>
      </c>
      <c r="J142" s="13" t="inlineStr">
        <is>
          <t>45471</t>
        </is>
      </c>
      <c r="K142" s="8" t="n">
        <v>45471</v>
      </c>
      <c r="L142" s="7">
        <f>COUNTIF(Seguimientos!$A$2:$A$1013,A142)</f>
        <v/>
      </c>
      <c r="M142" s="7">
        <f>SUMPRODUCT(MAX((Seguimientos!$A$2:$A$1013=A142)*(Seguimientos!$H$2:$H$1013&lt;&gt;"")*Seguimientos!$B$2:$B$1013))</f>
        <v/>
      </c>
      <c r="N142" s="8">
        <f>IF(M142=0,"",INDEX(Seguimientos!$F$2:$F$1013,MATCH(A142&amp;"|"&amp;M142,Seguimientos!$K$2:$K$1013,0)))</f>
        <v/>
      </c>
      <c r="O142" s="14">
        <f>IF(M142=0,0,INDEX(Seguimientos!$H$2:$H$1013,MATCH(A142&amp;"|"&amp;M142,Seguimientos!$K$2:$K$1013,0)))</f>
        <v/>
      </c>
      <c r="P142" s="9">
        <f>O142/2</f>
        <v/>
      </c>
      <c r="Q142" s="7">
        <f>INDEX(Escala!$B$2:$B$6,MATCH(O142,Escala!$A$2:$A$6,0))</f>
        <v/>
      </c>
      <c r="R142" s="7">
        <f>IF(O142=2,"Sí","No")</f>
        <v/>
      </c>
      <c r="S142" s="7">
        <f>IF(O142=0,"Sí","No")</f>
        <v/>
      </c>
      <c r="T142" s="7">
        <f>IF(AND(ISNUMBER(K142),O142&lt;2),IF(K142&lt;INDEX('Por sistema'!$D$5:$D$9,MATCH(B142,'Por sistema'!$A$5:$A$9,0)),"Sí","No"),"No")</f>
        <v/>
      </c>
    </row>
    <row r="143">
      <c r="A143" s="7" t="inlineStr">
        <is>
          <t>sgsi-2024-1</t>
        </is>
      </c>
      <c r="B143" s="7" t="inlineStr">
        <is>
          <t>SGSI</t>
        </is>
      </c>
      <c r="C143" s="7" t="inlineStr">
        <is>
          <t>Seguridad de la Información</t>
        </is>
      </c>
      <c r="D143" s="7" t="inlineStr">
        <is>
          <t>2024</t>
        </is>
      </c>
      <c r="E143" s="7" t="n">
        <v>1</v>
      </c>
      <c r="F143" s="13" t="inlineStr">
        <is>
          <t>Auditoria interna III para la vigencia 2025 y auditoria de certificación del Sistema de Gestión de Seguridad de la Información para la vigencia 2026. Autorizar a la coordinadora del Sistema de Seguridad de la Información/ SGSI realizar un curso Hacking ético y ciberseguridad para realizarlo en la vigencia 2025.</t>
        </is>
      </c>
      <c r="G143" s="13" t="inlineStr">
        <is>
          <t>Sistema de Gestión de Seguridad de la Información</t>
        </is>
      </c>
      <c r="H143" s="13" t="inlineStr">
        <is>
          <t>Seguridad de la Información</t>
        </is>
      </c>
      <c r="I143" s="13" t="inlineStr">
        <is>
          <t>Informe de auditoría donde se establezcan los hallazgos encontrados, Certificación del Sistema de Gestión de Seguridad de la Información – SGSI en la Norma ISO 27001:2022 y Certificación de la Ingeniera María del Pilar Delgado Rodríguez – Coordinadora del Sistema de Gestión de Seguridad de la Información – SGSI de Hacking Ético y Ciberseguridad.</t>
        </is>
      </c>
      <c r="J143" s="13" t="inlineStr">
        <is>
          <t>Vigencia 2025/2026</t>
        </is>
      </c>
      <c r="K143" s="8" t="n"/>
      <c r="L143" s="7">
        <f>COUNTIF(Seguimientos!$A$2:$A$1013,A143)</f>
        <v/>
      </c>
      <c r="M143" s="7">
        <f>SUMPRODUCT(MAX((Seguimientos!$A$2:$A$1013=A143)*(Seguimientos!$H$2:$H$1013&lt;&gt;"")*Seguimientos!$B$2:$B$1013))</f>
        <v/>
      </c>
      <c r="N143" s="8">
        <f>IF(M143=0,"",INDEX(Seguimientos!$F$2:$F$1013,MATCH(A143&amp;"|"&amp;M143,Seguimientos!$K$2:$K$1013,0)))</f>
        <v/>
      </c>
      <c r="O143" s="14">
        <f>IF(M143=0,0,INDEX(Seguimientos!$H$2:$H$1013,MATCH(A143&amp;"|"&amp;M143,Seguimientos!$K$2:$K$1013,0)))</f>
        <v/>
      </c>
      <c r="P143" s="9">
        <f>O143/2</f>
        <v/>
      </c>
      <c r="Q143" s="7">
        <f>INDEX(Escala!$B$2:$B$6,MATCH(O143,Escala!$A$2:$A$6,0))</f>
        <v/>
      </c>
      <c r="R143" s="7">
        <f>IF(O143=2,"Sí","No")</f>
        <v/>
      </c>
      <c r="S143" s="7">
        <f>IF(O143=0,"Sí","No")</f>
        <v/>
      </c>
      <c r="T143" s="7">
        <f>IF(AND(ISNUMBER(K143),O143&lt;2),IF(K143&lt;INDEX('Por sistema'!$D$5:$D$9,MATCH(B143,'Por sistema'!$A$5:$A$9,0)),"Sí","No"),"No")</f>
        <v/>
      </c>
    </row>
    <row r="144">
      <c r="A144" s="7" t="inlineStr">
        <is>
          <t>sgsi-2024-2</t>
        </is>
      </c>
      <c r="B144" s="7" t="inlineStr">
        <is>
          <t>SGSI</t>
        </is>
      </c>
      <c r="C144" s="7" t="inlineStr">
        <is>
          <t>Seguridad de la Información</t>
        </is>
      </c>
      <c r="D144" s="7" t="inlineStr">
        <is>
          <t>2024</t>
        </is>
      </c>
      <c r="E144" s="7" t="n">
        <v>2</v>
      </c>
      <c r="F144" s="13" t="inlineStr">
        <is>
          <t>Llamado de atención por parte de la Dirección de Control Interno a los funcionarios que fueron designados en sede, seccionales y extensionales como agentes para registrar los activos de información, pero no lo realizaron incumpliendo con la ley 1712 de 2024 " por medio de la cual se crea la ley de transparencia y del derecho de acceso de información publica nacional y se dicta otras disposiciones".</t>
        </is>
      </c>
      <c r="G144" s="13" t="inlineStr">
        <is>
          <t>Sistema de Gestión de Seguridad de la Información</t>
        </is>
      </c>
      <c r="H144" s="13" t="inlineStr">
        <is>
          <t>Seguridad de la Información</t>
        </is>
      </c>
      <c r="I144" s="13" t="inlineStr">
        <is>
          <t>Llamado de atención por parte de la Dirección de Control Interno a los funcionarios que fueron designados en sede, seccionales y extensionales como agentes para registrar los activos de información, pero no lo realizaron incumpliendo con la ley 1712 de 2024 y ESG-SSI-F034 Consolidado del Inventario de Activos de la Información.</t>
        </is>
      </c>
      <c r="J144" s="13" t="inlineStr">
        <is>
          <t>Vigencia 2025</t>
        </is>
      </c>
      <c r="K144" s="8" t="n"/>
      <c r="L144" s="7">
        <f>COUNTIF(Seguimientos!$A$2:$A$1013,A144)</f>
        <v/>
      </c>
      <c r="M144" s="7">
        <f>SUMPRODUCT(MAX((Seguimientos!$A$2:$A$1013=A144)*(Seguimientos!$H$2:$H$1013&lt;&gt;"")*Seguimientos!$B$2:$B$1013))</f>
        <v/>
      </c>
      <c r="N144" s="8">
        <f>IF(M144=0,"",INDEX(Seguimientos!$F$2:$F$1013,MATCH(A144&amp;"|"&amp;M144,Seguimientos!$K$2:$K$1013,0)))</f>
        <v/>
      </c>
      <c r="O144" s="14">
        <f>IF(M144=0,0,INDEX(Seguimientos!$H$2:$H$1013,MATCH(A144&amp;"|"&amp;M144,Seguimientos!$K$2:$K$1013,0)))</f>
        <v/>
      </c>
      <c r="P144" s="9">
        <f>O144/2</f>
        <v/>
      </c>
      <c r="Q144" s="7">
        <f>INDEX(Escala!$B$2:$B$6,MATCH(O144,Escala!$A$2:$A$6,0))</f>
        <v/>
      </c>
      <c r="R144" s="7">
        <f>IF(O144=2,"Sí","No")</f>
        <v/>
      </c>
      <c r="S144" s="7">
        <f>IF(O144=0,"Sí","No")</f>
        <v/>
      </c>
      <c r="T144" s="7">
        <f>IF(AND(ISNUMBER(K144),O144&lt;2),IF(K144&lt;INDEX('Por sistema'!$D$5:$D$9,MATCH(B144,'Por sistema'!$A$5:$A$9,0)),"Sí","No"),"No")</f>
        <v/>
      </c>
    </row>
    <row r="145">
      <c r="A145" s="7" t="inlineStr">
        <is>
          <t>sgsi-2024-3</t>
        </is>
      </c>
      <c r="B145" s="7" t="inlineStr">
        <is>
          <t>SGSI</t>
        </is>
      </c>
      <c r="C145" s="7" t="inlineStr">
        <is>
          <t>Seguridad de la Información</t>
        </is>
      </c>
      <c r="D145" s="7" t="inlineStr">
        <is>
          <t>2024</t>
        </is>
      </c>
      <c r="E145" s="7" t="n">
        <v>3</v>
      </c>
      <c r="F145" s="13" t="inlineStr">
        <is>
          <t>Llamado de atención por parte de la Dirección de Control Interno a los funcionarios que no asistieron a las jornadas de sensibilización en seguridad y privacidad de la información.</t>
        </is>
      </c>
      <c r="G145" s="13" t="inlineStr">
        <is>
          <t>Sistema de Gestión de Seguridad de la Información</t>
        </is>
      </c>
      <c r="H145" s="13" t="inlineStr">
        <is>
          <t>Seguridad de la Información</t>
        </is>
      </c>
      <c r="I145" s="13" t="inlineStr">
        <is>
          <t>Llamado de atención por parte de la Dirección de Control Interno a los funcionarios que no asistieron a las Jornadas de Sensibilización en Seguridad y Privacidad de la información y registros de asistencia de las jornadas en mención que se realicen en la vigencia 2025.</t>
        </is>
      </c>
      <c r="J145" s="13" t="inlineStr">
        <is>
          <t>Vigencia 2025</t>
        </is>
      </c>
      <c r="K145" s="8" t="n"/>
      <c r="L145" s="7">
        <f>COUNTIF(Seguimientos!$A$2:$A$1013,A145)</f>
        <v/>
      </c>
      <c r="M145" s="7">
        <f>SUMPRODUCT(MAX((Seguimientos!$A$2:$A$1013=A145)*(Seguimientos!$H$2:$H$1013&lt;&gt;"")*Seguimientos!$B$2:$B$1013))</f>
        <v/>
      </c>
      <c r="N145" s="8">
        <f>IF(M145=0,"",INDEX(Seguimientos!$F$2:$F$1013,MATCH(A145&amp;"|"&amp;M145,Seguimientos!$K$2:$K$1013,0)))</f>
        <v/>
      </c>
      <c r="O145" s="14">
        <f>IF(M145=0,0,INDEX(Seguimientos!$H$2:$H$1013,MATCH(A145&amp;"|"&amp;M145,Seguimientos!$K$2:$K$1013,0)))</f>
        <v/>
      </c>
      <c r="P145" s="9">
        <f>O145/2</f>
        <v/>
      </c>
      <c r="Q145" s="7">
        <f>INDEX(Escala!$B$2:$B$6,MATCH(O145,Escala!$A$2:$A$6,0))</f>
        <v/>
      </c>
      <c r="R145" s="7">
        <f>IF(O145=2,"Sí","No")</f>
        <v/>
      </c>
      <c r="S145" s="7">
        <f>IF(O145=0,"Sí","No")</f>
        <v/>
      </c>
      <c r="T145" s="7">
        <f>IF(AND(ISNUMBER(K145),O145&lt;2),IF(K145&lt;INDEX('Por sistema'!$D$5:$D$9,MATCH(B145,'Por sistema'!$A$5:$A$9,0)),"Sí","No"),"No")</f>
        <v/>
      </c>
    </row>
    <row r="146">
      <c r="A146" s="7" t="inlineStr">
        <is>
          <t>sgsi-2024-4</t>
        </is>
      </c>
      <c r="B146" s="7" t="inlineStr">
        <is>
          <t>SGSI</t>
        </is>
      </c>
      <c r="C146" s="7" t="inlineStr">
        <is>
          <t>Seguridad de la Información</t>
        </is>
      </c>
      <c r="D146" s="7" t="inlineStr">
        <is>
          <t>2024</t>
        </is>
      </c>
      <c r="E146" s="7" t="n">
        <v>4</v>
      </c>
      <c r="F146" s="13" t="inlineStr">
        <is>
          <t>Formulación y publicación del procedimiento de cifrado de la información por parte de la Dirección de Sistemas y Tecnología, con el fin de aplicarlos en él envió de información sensible.</t>
        </is>
      </c>
      <c r="G146" s="13" t="inlineStr">
        <is>
          <t>Dirección de Sistemas y Tecnología, Dirección Interacción Social Universitaria, Oficina de Admisiones y Registro</t>
        </is>
      </c>
      <c r="H146" s="13" t="inlineStr">
        <is>
          <t>Sistemas y Tecnología, Interacción Social y Bienestar, Admisiones y Registro</t>
        </is>
      </c>
      <c r="I146" s="13" t="inlineStr">
        <is>
          <t>Política de cifrado de la información y procedimiento formalizado en el Sistema de Gestión de la Calidad – SGA</t>
        </is>
      </c>
      <c r="J146" s="13" t="inlineStr">
        <is>
          <t>Vigencia 2025/2026</t>
        </is>
      </c>
      <c r="K146" s="8" t="n"/>
      <c r="L146" s="7">
        <f>COUNTIF(Seguimientos!$A$2:$A$1013,A146)</f>
        <v/>
      </c>
      <c r="M146" s="7">
        <f>SUMPRODUCT(MAX((Seguimientos!$A$2:$A$1013=A146)*(Seguimientos!$H$2:$H$1013&lt;&gt;"")*Seguimientos!$B$2:$B$1013))</f>
        <v/>
      </c>
      <c r="N146" s="8">
        <f>IF(M146=0,"",INDEX(Seguimientos!$F$2:$F$1013,MATCH(A146&amp;"|"&amp;M146,Seguimientos!$K$2:$K$1013,0)))</f>
        <v/>
      </c>
      <c r="O146" s="14">
        <f>IF(M146=0,0,INDEX(Seguimientos!$H$2:$H$1013,MATCH(A146&amp;"|"&amp;M146,Seguimientos!$K$2:$K$1013,0)))</f>
        <v/>
      </c>
      <c r="P146" s="9">
        <f>O146/2</f>
        <v/>
      </c>
      <c r="Q146" s="7">
        <f>INDEX(Escala!$B$2:$B$6,MATCH(O146,Escala!$A$2:$A$6,0))</f>
        <v/>
      </c>
      <c r="R146" s="7">
        <f>IF(O146=2,"Sí","No")</f>
        <v/>
      </c>
      <c r="S146" s="7">
        <f>IF(O146=0,"Sí","No")</f>
        <v/>
      </c>
      <c r="T146" s="7">
        <f>IF(AND(ISNUMBER(K146),O146&lt;2),IF(K146&lt;INDEX('Por sistema'!$D$5:$D$9,MATCH(B146,'Por sistema'!$A$5:$A$9,0)),"Sí","No"),"No")</f>
        <v/>
      </c>
    </row>
    <row r="147">
      <c r="A147" s="7" t="inlineStr">
        <is>
          <t>sgsi-2024-5</t>
        </is>
      </c>
      <c r="B147" s="7" t="inlineStr">
        <is>
          <t>SGSI</t>
        </is>
      </c>
      <c r="C147" s="7" t="inlineStr">
        <is>
          <t>Seguridad de la Información</t>
        </is>
      </c>
      <c r="D147" s="7" t="inlineStr">
        <is>
          <t>2024</t>
        </is>
      </c>
      <c r="E147" s="7" t="n">
        <v>5</v>
      </c>
      <c r="F147" s="13" t="inlineStr">
        <is>
          <t>Solicitar a la Dirección de Sistemas y Tecnología que se cumpla con el lineamiento de mantener los equipos sincronizados al OneDrive, sobre todo en seccionales y extensiones donde se detectó el mayor riesgo porque los equipos no están sincronizados, lo que conlleva a que se materialice el riesgo por perdida de información teniendo en cuenta que la copia del OneDrive es un respaldo en línea o de manera inmediata.</t>
        </is>
      </c>
      <c r="G147" s="13" t="inlineStr">
        <is>
          <t>Dirección de Sistemas y Tecnología, Dirección de Control Interno, Dirección de Investigación Universitaria</t>
        </is>
      </c>
      <c r="H147" s="13" t="inlineStr">
        <is>
          <t>Sistemas y Tecnología, Control Interno, Investigación Universitaria</t>
        </is>
      </c>
      <c r="I147" s="13" t="inlineStr">
        <is>
          <t>Ticket de la solicitud por la Mesa de Servicios para la sincronización del OneDrive de los equipos de cómputo.</t>
        </is>
      </c>
      <c r="J147" s="13" t="inlineStr">
        <is>
          <t>Vigencia 2025</t>
        </is>
      </c>
      <c r="K147" s="8" t="n"/>
      <c r="L147" s="7">
        <f>COUNTIF(Seguimientos!$A$2:$A$1013,A147)</f>
        <v/>
      </c>
      <c r="M147" s="7">
        <f>SUMPRODUCT(MAX((Seguimientos!$A$2:$A$1013=A147)*(Seguimientos!$H$2:$H$1013&lt;&gt;"")*Seguimientos!$B$2:$B$1013))</f>
        <v/>
      </c>
      <c r="N147" s="8">
        <f>IF(M147=0,"",INDEX(Seguimientos!$F$2:$F$1013,MATCH(A147&amp;"|"&amp;M147,Seguimientos!$K$2:$K$1013,0)))</f>
        <v/>
      </c>
      <c r="O147" s="14">
        <f>IF(M147=0,0,INDEX(Seguimientos!$H$2:$H$1013,MATCH(A147&amp;"|"&amp;M147,Seguimientos!$K$2:$K$1013,0)))</f>
        <v/>
      </c>
      <c r="P147" s="9">
        <f>O147/2</f>
        <v/>
      </c>
      <c r="Q147" s="7">
        <f>INDEX(Escala!$B$2:$B$6,MATCH(O147,Escala!$A$2:$A$6,0))</f>
        <v/>
      </c>
      <c r="R147" s="7">
        <f>IF(O147=2,"Sí","No")</f>
        <v/>
      </c>
      <c r="S147" s="7">
        <f>IF(O147=0,"Sí","No")</f>
        <v/>
      </c>
      <c r="T147" s="7">
        <f>IF(AND(ISNUMBER(K147),O147&lt;2),IF(K147&lt;INDEX('Por sistema'!$D$5:$D$9,MATCH(B147,'Por sistema'!$A$5:$A$9,0)),"Sí","No"),"No")</f>
        <v/>
      </c>
    </row>
    <row r="148">
      <c r="A148" s="7" t="inlineStr">
        <is>
          <t>sgsi-2024-6</t>
        </is>
      </c>
      <c r="B148" s="7" t="inlineStr">
        <is>
          <t>SGSI</t>
        </is>
      </c>
      <c r="C148" s="7" t="inlineStr">
        <is>
          <t>Seguridad de la Información</t>
        </is>
      </c>
      <c r="D148" s="7" t="inlineStr">
        <is>
          <t>2024</t>
        </is>
      </c>
      <c r="E148" s="7" t="n">
        <v>6</v>
      </c>
      <c r="F148" s="13" t="inlineStr">
        <is>
          <t>De acuerdo a las solicitudes realizadas a la Dirección de Planeación Institucional, es importante la reubicación de los funcionarios del Sistema de Gestión de Seguridad de la Información – SGSI.</t>
        </is>
      </c>
      <c r="G148" s="13" t="inlineStr">
        <is>
          <t>Dirección de Planeación Institucional, Sistema de Gestión de Seguridad de la Información</t>
        </is>
      </c>
      <c r="H148" s="13" t="inlineStr">
        <is>
          <t>Planeación Institucional, Seguridad de la Información</t>
        </is>
      </c>
      <c r="I148" s="13" t="inlineStr">
        <is>
          <t>Informe técnico del Sistema de Gestión de Seguridad de la Información para la reubicación de espacio físico.</t>
        </is>
      </c>
      <c r="J148" s="13" t="inlineStr">
        <is>
          <t>Vigencia 2025/2026</t>
        </is>
      </c>
      <c r="K148" s="8" t="n"/>
      <c r="L148" s="7">
        <f>COUNTIF(Seguimientos!$A$2:$A$1013,A148)</f>
        <v/>
      </c>
      <c r="M148" s="7">
        <f>SUMPRODUCT(MAX((Seguimientos!$A$2:$A$1013=A148)*(Seguimientos!$H$2:$H$1013&lt;&gt;"")*Seguimientos!$B$2:$B$1013))</f>
        <v/>
      </c>
      <c r="N148" s="8">
        <f>IF(M148=0,"",INDEX(Seguimientos!$F$2:$F$1013,MATCH(A148&amp;"|"&amp;M148,Seguimientos!$K$2:$K$1013,0)))</f>
        <v/>
      </c>
      <c r="O148" s="14">
        <f>IF(M148=0,0,INDEX(Seguimientos!$H$2:$H$1013,MATCH(A148&amp;"|"&amp;M148,Seguimientos!$K$2:$K$1013,0)))</f>
        <v/>
      </c>
      <c r="P148" s="9">
        <f>O148/2</f>
        <v/>
      </c>
      <c r="Q148" s="7">
        <f>INDEX(Escala!$B$2:$B$6,MATCH(O148,Escala!$A$2:$A$6,0))</f>
        <v/>
      </c>
      <c r="R148" s="7">
        <f>IF(O148=2,"Sí","No")</f>
        <v/>
      </c>
      <c r="S148" s="7">
        <f>IF(O148=0,"Sí","No")</f>
        <v/>
      </c>
      <c r="T148" s="7">
        <f>IF(AND(ISNUMBER(K148),O148&lt;2),IF(K148&lt;INDEX('Por sistema'!$D$5:$D$9,MATCH(B148,'Por sistema'!$A$5:$A$9,0)),"Sí","No"),"No")</f>
        <v/>
      </c>
    </row>
    <row r="149">
      <c r="A149" s="7" t="inlineStr">
        <is>
          <t>sgsi-2024-7</t>
        </is>
      </c>
      <c r="B149" s="7" t="inlineStr">
        <is>
          <t>SGSI</t>
        </is>
      </c>
      <c r="C149" s="7" t="inlineStr">
        <is>
          <t>Seguridad de la Información</t>
        </is>
      </c>
      <c r="D149" s="7" t="inlineStr">
        <is>
          <t>2024</t>
        </is>
      </c>
      <c r="E149" s="7" t="n">
        <v>7</v>
      </c>
      <c r="F149" s="13" t="inlineStr">
        <is>
          <t>Formalizar la entrega de credenciales de los sistemas de información por medio de un acta.</t>
        </is>
      </c>
      <c r="G149" s="13" t="inlineStr">
        <is>
          <t>Vicerrectoría Académica, Dirección de Planeación Institucional, Oficina de Contabilidad</t>
        </is>
      </c>
      <c r="H149" s="13" t="inlineStr">
        <is>
          <t>Planeación Institucional, Vicerrectoría Académica, Contabilidad</t>
        </is>
      </c>
      <c r="I149" s="13" t="inlineStr">
        <is>
          <t>Acta formalizada donde se documente la entrega de credenciales a los sistemas de información.</t>
        </is>
      </c>
      <c r="J149" s="13" t="inlineStr">
        <is>
          <t>Vigencia 2025</t>
        </is>
      </c>
      <c r="K149" s="8" t="n"/>
      <c r="L149" s="7">
        <f>COUNTIF(Seguimientos!$A$2:$A$1013,A149)</f>
        <v/>
      </c>
      <c r="M149" s="7">
        <f>SUMPRODUCT(MAX((Seguimientos!$A$2:$A$1013=A149)*(Seguimientos!$H$2:$H$1013&lt;&gt;"")*Seguimientos!$B$2:$B$1013))</f>
        <v/>
      </c>
      <c r="N149" s="8">
        <f>IF(M149=0,"",INDEX(Seguimientos!$F$2:$F$1013,MATCH(A149&amp;"|"&amp;M149,Seguimientos!$K$2:$K$1013,0)))</f>
        <v/>
      </c>
      <c r="O149" s="14">
        <f>IF(M149=0,0,INDEX(Seguimientos!$H$2:$H$1013,MATCH(A149&amp;"|"&amp;M149,Seguimientos!$K$2:$K$1013,0)))</f>
        <v/>
      </c>
      <c r="P149" s="9">
        <f>O149/2</f>
        <v/>
      </c>
      <c r="Q149" s="7">
        <f>INDEX(Escala!$B$2:$B$6,MATCH(O149,Escala!$A$2:$A$6,0))</f>
        <v/>
      </c>
      <c r="R149" s="7">
        <f>IF(O149=2,"Sí","No")</f>
        <v/>
      </c>
      <c r="S149" s="7">
        <f>IF(O149=0,"Sí","No")</f>
        <v/>
      </c>
      <c r="T149" s="7">
        <f>IF(AND(ISNUMBER(K149),O149&lt;2),IF(K149&lt;INDEX('Por sistema'!$D$5:$D$9,MATCH(B149,'Por sistema'!$A$5:$A$9,0)),"Sí","No"),"No")</f>
        <v/>
      </c>
    </row>
    <row r="150">
      <c r="A150" s="7" t="inlineStr">
        <is>
          <t>sgsi-2025-1</t>
        </is>
      </c>
      <c r="B150" s="7" t="inlineStr">
        <is>
          <t>SGSI</t>
        </is>
      </c>
      <c r="C150" s="7" t="inlineStr">
        <is>
          <t>Seguridad de la Información</t>
        </is>
      </c>
      <c r="D150" s="7" t="inlineStr">
        <is>
          <t>2025</t>
        </is>
      </c>
      <c r="E150" s="7" t="n">
        <v>1</v>
      </c>
      <c r="F150" s="13" t="inlineStr">
        <is>
          <t>La Alta Dirección debe aprobar la implementación de la etapa de Continuidad del Negocio a nivel institucional, según la Norma ISO 22301:2019 “GUÍA DE IMPLEMENTACIÓN DE SISTEMAS DE GESTIÓN DE CONTINUIDAD DE NEGOCIO”, como alistamiento para la Auditoría de Certificación del Sistema de Gestión de Seguridad de la Información – SGSI, que se realizará en la vigencia 2026.</t>
        </is>
      </c>
      <c r="G150" s="13" t="inlineStr">
        <is>
          <t>Sistema de Gestión de Seguridad de la Información</t>
        </is>
      </c>
      <c r="H150" s="13" t="inlineStr">
        <is>
          <t>Seguridad de la Información</t>
        </is>
      </c>
      <c r="I150" s="13" t="inlineStr">
        <is>
          <t>Lineamiento (Politica), objetivos y alcance de Gestión de Continuidad del Negocio Analisis de Impacto del Negocio - BIA el Análisis de Impacto al Negocio (BIA), Plan de Continuidad del Negocio (BCP), Plan de Recuperación ante Desastres (DRP) Procedimientos Operativos Matriz de Analisis de Riesgos</t>
        </is>
      </c>
      <c r="J150" s="13" t="inlineStr">
        <is>
          <t>Abril 30 de 2026</t>
        </is>
      </c>
      <c r="K150" s="8" t="n">
        <v>46142</v>
      </c>
      <c r="L150" s="7">
        <f>COUNTIF(Seguimientos!$A$2:$A$1013,A150)</f>
        <v/>
      </c>
      <c r="M150" s="7">
        <f>SUMPRODUCT(MAX((Seguimientos!$A$2:$A$1013=A150)*(Seguimientos!$H$2:$H$1013&lt;&gt;"")*Seguimientos!$B$2:$B$1013))</f>
        <v/>
      </c>
      <c r="N150" s="8">
        <f>IF(M150=0,"",INDEX(Seguimientos!$F$2:$F$1013,MATCH(A150&amp;"|"&amp;M150,Seguimientos!$K$2:$K$1013,0)))</f>
        <v/>
      </c>
      <c r="O150" s="14">
        <f>IF(M150=0,0,INDEX(Seguimientos!$H$2:$H$1013,MATCH(A150&amp;"|"&amp;M150,Seguimientos!$K$2:$K$1013,0)))</f>
        <v/>
      </c>
      <c r="P150" s="9">
        <f>O150/2</f>
        <v/>
      </c>
      <c r="Q150" s="7">
        <f>INDEX(Escala!$B$2:$B$6,MATCH(O150,Escala!$A$2:$A$6,0))</f>
        <v/>
      </c>
      <c r="R150" s="7">
        <f>IF(O150=2,"Sí","No")</f>
        <v/>
      </c>
      <c r="S150" s="7">
        <f>IF(O150=0,"Sí","No")</f>
        <v/>
      </c>
      <c r="T150" s="7">
        <f>IF(AND(ISNUMBER(K150),O150&lt;2),IF(K150&lt;INDEX('Por sistema'!$D$5:$D$9,MATCH(B150,'Por sistema'!$A$5:$A$9,0)),"Sí","No"),"No")</f>
        <v/>
      </c>
    </row>
    <row r="151">
      <c r="A151" s="7" t="inlineStr">
        <is>
          <t>sgsi-2025-2</t>
        </is>
      </c>
      <c r="B151" s="7" t="inlineStr">
        <is>
          <t>SGSI</t>
        </is>
      </c>
      <c r="C151" s="7" t="inlineStr">
        <is>
          <t>Seguridad de la Información</t>
        </is>
      </c>
      <c r="D151" s="7" t="inlineStr">
        <is>
          <t>2025</t>
        </is>
      </c>
      <c r="E151" s="7" t="n">
        <v>2</v>
      </c>
      <c r="F151" s="13" t="inlineStr">
        <is>
          <t>La Alta Dirección debe aprobar que se envíe un comunicado general a los procesos y/o áreas que tienen planes de mejoramiento derivados de las Auditorías Internas II y III del SGSI, donde se informe la importancia de realizar las actividades pendientes y lograr el cierre satisfactorio con corte a diciembre de 2025 como alistamiento para la Auditoría de Certificación del Sistema de Gestión de Seguridad de la Información – SGSI, que se realizará en la vigencia 2026.</t>
        </is>
      </c>
      <c r="G151" s="13" t="inlineStr">
        <is>
          <t>Sistema de Gestión de Seguridad de la Información Areas que tienen planes de Mejoramiento sin cerrar de las auditorias II y III del SGSI</t>
        </is>
      </c>
      <c r="H151" s="13" t="inlineStr">
        <is>
          <t>Seguridad de la Información</t>
        </is>
      </c>
      <c r="I151" s="13" t="inlineStr">
        <is>
          <t>Planes de Mejoramiento de las auditorias II y III del SGSI, cerrados.</t>
        </is>
      </c>
      <c r="J151" s="13" t="inlineStr">
        <is>
          <t>Marzo 30 de 2026</t>
        </is>
      </c>
      <c r="K151" s="8" t="n">
        <v>46111</v>
      </c>
      <c r="L151" s="7">
        <f>COUNTIF(Seguimientos!$A$2:$A$1013,A151)</f>
        <v/>
      </c>
      <c r="M151" s="7">
        <f>SUMPRODUCT(MAX((Seguimientos!$A$2:$A$1013=A151)*(Seguimientos!$H$2:$H$1013&lt;&gt;"")*Seguimientos!$B$2:$B$1013))</f>
        <v/>
      </c>
      <c r="N151" s="8">
        <f>IF(M151=0,"",INDEX(Seguimientos!$F$2:$F$1013,MATCH(A151&amp;"|"&amp;M151,Seguimientos!$K$2:$K$1013,0)))</f>
        <v/>
      </c>
      <c r="O151" s="14">
        <f>IF(M151=0,0,INDEX(Seguimientos!$H$2:$H$1013,MATCH(A151&amp;"|"&amp;M151,Seguimientos!$K$2:$K$1013,0)))</f>
        <v/>
      </c>
      <c r="P151" s="9">
        <f>O151/2</f>
        <v/>
      </c>
      <c r="Q151" s="7">
        <f>INDEX(Escala!$B$2:$B$6,MATCH(O151,Escala!$A$2:$A$6,0))</f>
        <v/>
      </c>
      <c r="R151" s="7">
        <f>IF(O151=2,"Sí","No")</f>
        <v/>
      </c>
      <c r="S151" s="7">
        <f>IF(O151=0,"Sí","No")</f>
        <v/>
      </c>
      <c r="T151" s="7">
        <f>IF(AND(ISNUMBER(K151),O151&lt;2),IF(K151&lt;INDEX('Por sistema'!$D$5:$D$9,MATCH(B151,'Por sistema'!$A$5:$A$9,0)),"Sí","No"),"No")</f>
        <v/>
      </c>
    </row>
    <row r="152">
      <c r="A152" s="7" t="inlineStr">
        <is>
          <t>sgsi-2025-3</t>
        </is>
      </c>
      <c r="B152" s="7" t="inlineStr">
        <is>
          <t>SGSI</t>
        </is>
      </c>
      <c r="C152" s="7" t="inlineStr">
        <is>
          <t>Seguridad de la Información</t>
        </is>
      </c>
      <c r="D152" s="7" t="inlineStr">
        <is>
          <t>2025</t>
        </is>
      </c>
      <c r="E152" s="7" t="n">
        <v>3</v>
      </c>
      <c r="F152" s="13" t="inlineStr">
        <is>
          <t>Elaboración e implementación de la matriz para el acceso de información publica y no publica.</t>
        </is>
      </c>
      <c r="G152" s="13" t="inlineStr">
        <is>
          <t>Sistema de Gestión e Seguridad de la Informacion Sistema de Gestión de la Calidad Dirección de Planeación Institucional Oficina Asesora de Comunicaciones</t>
        </is>
      </c>
      <c r="H152" s="13" t="inlineStr">
        <is>
          <t>Planeación Institucional, Calidad, Seguridad de la Información</t>
        </is>
      </c>
      <c r="I152" s="13" t="inlineStr">
        <is>
          <t>Matriz que identifica la Información Publica, Publica Clasificada y Publica Reservada, la cual debe ser evidenciada en el Modelo de Operación digital y en el Link de Transparencia, acorde a la Ley 1712 de 2014.</t>
        </is>
      </c>
      <c r="J152" s="13" t="inlineStr">
        <is>
          <t>30/04/ 2026</t>
        </is>
      </c>
      <c r="K152" s="8" t="n">
        <v>46142</v>
      </c>
      <c r="L152" s="7">
        <f>COUNTIF(Seguimientos!$A$2:$A$1013,A152)</f>
        <v/>
      </c>
      <c r="M152" s="7">
        <f>SUMPRODUCT(MAX((Seguimientos!$A$2:$A$1013=A152)*(Seguimientos!$H$2:$H$1013&lt;&gt;"")*Seguimientos!$B$2:$B$1013))</f>
        <v/>
      </c>
      <c r="N152" s="8">
        <f>IF(M152=0,"",INDEX(Seguimientos!$F$2:$F$1013,MATCH(A152&amp;"|"&amp;M152,Seguimientos!$K$2:$K$1013,0)))</f>
        <v/>
      </c>
      <c r="O152" s="14">
        <f>IF(M152=0,0,INDEX(Seguimientos!$H$2:$H$1013,MATCH(A152&amp;"|"&amp;M152,Seguimientos!$K$2:$K$1013,0)))</f>
        <v/>
      </c>
      <c r="P152" s="9">
        <f>O152/2</f>
        <v/>
      </c>
      <c r="Q152" s="7">
        <f>INDEX(Escala!$B$2:$B$6,MATCH(O152,Escala!$A$2:$A$6,0))</f>
        <v/>
      </c>
      <c r="R152" s="7">
        <f>IF(O152=2,"Sí","No")</f>
        <v/>
      </c>
      <c r="S152" s="7">
        <f>IF(O152=0,"Sí","No")</f>
        <v/>
      </c>
      <c r="T152" s="7">
        <f>IF(AND(ISNUMBER(K152),O152&lt;2),IF(K152&lt;INDEX('Por sistema'!$D$5:$D$9,MATCH(B152,'Por sistema'!$A$5:$A$9,0)),"Sí","No"),"No")</f>
        <v/>
      </c>
    </row>
    <row r="153">
      <c r="A153" s="7" t="inlineStr">
        <is>
          <t>sgsi-2025-4</t>
        </is>
      </c>
      <c r="B153" s="7" t="inlineStr">
        <is>
          <t>SGSI</t>
        </is>
      </c>
      <c r="C153" s="7" t="inlineStr">
        <is>
          <t>Seguridad de la Información</t>
        </is>
      </c>
      <c r="D153" s="7" t="inlineStr">
        <is>
          <t>2025</t>
        </is>
      </c>
      <c r="E153" s="7" t="n">
        <v>4</v>
      </c>
      <c r="F153" s="13" t="inlineStr">
        <is>
          <t>Elaborar un tablero de control que permita comparar los datos de cada sistema de Gestión en las diferencias vigencias.</t>
        </is>
      </c>
      <c r="G153" s="13" t="inlineStr">
        <is>
          <t>Sistema de Gestiónd e Seguridad de la Informacion Grupo de Gobierno de Datos</t>
        </is>
      </c>
      <c r="H153" s="13" t="inlineStr">
        <is>
          <t>Seguridad de la Información, Gobierno de Datos</t>
        </is>
      </c>
      <c r="I153" s="13" t="inlineStr">
        <is>
          <t>Tablero de control, que permita evidenciar los resultados de Revisión por a Dirección, arrojando un comparativo por vigencias.</t>
        </is>
      </c>
      <c r="J153" s="13" t="inlineStr">
        <is>
          <t>30/06/ 2026</t>
        </is>
      </c>
      <c r="K153" s="8" t="n">
        <v>46203</v>
      </c>
      <c r="L153" s="7">
        <f>COUNTIF(Seguimientos!$A$2:$A$1013,A153)</f>
        <v/>
      </c>
      <c r="M153" s="7">
        <f>SUMPRODUCT(MAX((Seguimientos!$A$2:$A$1013=A153)*(Seguimientos!$H$2:$H$1013&lt;&gt;"")*Seguimientos!$B$2:$B$1013))</f>
        <v/>
      </c>
      <c r="N153" s="8">
        <f>IF(M153=0,"",INDEX(Seguimientos!$F$2:$F$1013,MATCH(A153&amp;"|"&amp;M153,Seguimientos!$K$2:$K$1013,0)))</f>
        <v/>
      </c>
      <c r="O153" s="14">
        <f>IF(M153=0,0,INDEX(Seguimientos!$H$2:$H$1013,MATCH(A153&amp;"|"&amp;M153,Seguimientos!$K$2:$K$1013,0)))</f>
        <v/>
      </c>
      <c r="P153" s="9">
        <f>O153/2</f>
        <v/>
      </c>
      <c r="Q153" s="7">
        <f>INDEX(Escala!$B$2:$B$6,MATCH(O153,Escala!$A$2:$A$6,0))</f>
        <v/>
      </c>
      <c r="R153" s="7">
        <f>IF(O153=2,"Sí","No")</f>
        <v/>
      </c>
      <c r="S153" s="7">
        <f>IF(O153=0,"Sí","No")</f>
        <v/>
      </c>
      <c r="T153" s="7">
        <f>IF(AND(ISNUMBER(K153),O153&lt;2),IF(K153&lt;INDEX('Por sistema'!$D$5:$D$9,MATCH(B153,'Por sistema'!$A$5:$A$9,0)),"Sí","No"),"No")</f>
        <v/>
      </c>
    </row>
    <row r="154">
      <c r="A154" s="7" t="inlineStr">
        <is>
          <t>sgas-2024-1</t>
        </is>
      </c>
      <c r="B154" s="7" t="inlineStr">
        <is>
          <t>SGAS</t>
        </is>
      </c>
      <c r="C154" s="7" t="inlineStr">
        <is>
          <t>Sistema de Gestión Antisoborno</t>
        </is>
      </c>
      <c r="D154" s="7" t="inlineStr">
        <is>
          <t>2024</t>
        </is>
      </c>
      <c r="E154" s="7" t="n">
        <v>1</v>
      </c>
      <c r="F154" s="13" t="inlineStr">
        <is>
          <t>Se requiere fortalecer el análisis e identificación de las cuestiones internas y externas que afectan a la universidad de Cundinamarca por unidades regionales, para así fortalecer la gestión del riesgo de soborno.</t>
        </is>
      </c>
      <c r="G154" s="13" t="inlineStr">
        <is>
          <t>Sistema de Gestión Antisoborno</t>
        </is>
      </c>
      <c r="H154" s="13" t="inlineStr">
        <is>
          <t>Antisoborno</t>
        </is>
      </c>
      <c r="I154" s="13" t="inlineStr">
        <is>
          <t>Documento Matriz de riesgos de soborno actualizada.</t>
        </is>
      </c>
      <c r="J154" s="13" t="inlineStr">
        <is>
          <t>31 de Julio 2025.</t>
        </is>
      </c>
      <c r="K154" s="8" t="n">
        <v>45869</v>
      </c>
      <c r="L154" s="7">
        <f>COUNTIF(Seguimientos!$A$2:$A$1013,A154)</f>
        <v/>
      </c>
      <c r="M154" s="7">
        <f>SUMPRODUCT(MAX((Seguimientos!$A$2:$A$1013=A154)*(Seguimientos!$H$2:$H$1013&lt;&gt;"")*Seguimientos!$B$2:$B$1013))</f>
        <v/>
      </c>
      <c r="N154" s="8">
        <f>IF(M154=0,"",INDEX(Seguimientos!$F$2:$F$1013,MATCH(A154&amp;"|"&amp;M154,Seguimientos!$K$2:$K$1013,0)))</f>
        <v/>
      </c>
      <c r="O154" s="14">
        <f>IF(M154=0,0,INDEX(Seguimientos!$H$2:$H$1013,MATCH(A154&amp;"|"&amp;M154,Seguimientos!$K$2:$K$1013,0)))</f>
        <v/>
      </c>
      <c r="P154" s="9">
        <f>O154/2</f>
        <v/>
      </c>
      <c r="Q154" s="7">
        <f>INDEX(Escala!$B$2:$B$6,MATCH(O154,Escala!$A$2:$A$6,0))</f>
        <v/>
      </c>
      <c r="R154" s="7">
        <f>IF(O154=2,"Sí","No")</f>
        <v/>
      </c>
      <c r="S154" s="7">
        <f>IF(O154=0,"Sí","No")</f>
        <v/>
      </c>
      <c r="T154" s="7">
        <f>IF(AND(ISNUMBER(K154),O154&lt;2),IF(K154&lt;INDEX('Por sistema'!$D$5:$D$9,MATCH(B154,'Por sistema'!$A$5:$A$9,0)),"Sí","No"),"No")</f>
        <v/>
      </c>
    </row>
    <row r="155">
      <c r="A155" s="7" t="inlineStr">
        <is>
          <t>sgas-2024-2</t>
        </is>
      </c>
      <c r="B155" s="7" t="inlineStr">
        <is>
          <t>SGAS</t>
        </is>
      </c>
      <c r="C155" s="7" t="inlineStr">
        <is>
          <t>Sistema de Gestión Antisoborno</t>
        </is>
      </c>
      <c r="D155" s="7" t="inlineStr">
        <is>
          <t>2024</t>
        </is>
      </c>
      <c r="E155" s="7" t="n">
        <v>2</v>
      </c>
      <c r="F155" s="13" t="inlineStr">
        <is>
          <t>Se requiere la actualización de la matriz de riesgos de soborno garantizando la identificación de todos los riesgos de soborno y sus controles para todos los procesos de la universidad de acuerdo con los socios de negocio.</t>
        </is>
      </c>
      <c r="G155" s="13" t="inlineStr">
        <is>
          <t>Sistema de Gestión Antisoborno</t>
        </is>
      </c>
      <c r="H155" s="13" t="inlineStr">
        <is>
          <t>Antisoborno</t>
        </is>
      </c>
      <c r="I155" s="13" t="inlineStr">
        <is>
          <t>Documento Matriz de riesgos de soborno publicada</t>
        </is>
      </c>
      <c r="J155" s="13" t="inlineStr">
        <is>
          <t>30 de Septiembre 2025.</t>
        </is>
      </c>
      <c r="K155" s="8" t="n">
        <v>45930</v>
      </c>
      <c r="L155" s="7">
        <f>COUNTIF(Seguimientos!$A$2:$A$1013,A155)</f>
        <v/>
      </c>
      <c r="M155" s="7">
        <f>SUMPRODUCT(MAX((Seguimientos!$A$2:$A$1013=A155)*(Seguimientos!$H$2:$H$1013&lt;&gt;"")*Seguimientos!$B$2:$B$1013))</f>
        <v/>
      </c>
      <c r="N155" s="8">
        <f>IF(M155=0,"",INDEX(Seguimientos!$F$2:$F$1013,MATCH(A155&amp;"|"&amp;M155,Seguimientos!$K$2:$K$1013,0)))</f>
        <v/>
      </c>
      <c r="O155" s="14">
        <f>IF(M155=0,0,INDEX(Seguimientos!$H$2:$H$1013,MATCH(A155&amp;"|"&amp;M155,Seguimientos!$K$2:$K$1013,0)))</f>
        <v/>
      </c>
      <c r="P155" s="9">
        <f>O155/2</f>
        <v/>
      </c>
      <c r="Q155" s="7">
        <f>INDEX(Escala!$B$2:$B$6,MATCH(O155,Escala!$A$2:$A$6,0))</f>
        <v/>
      </c>
      <c r="R155" s="7">
        <f>IF(O155=2,"Sí","No")</f>
        <v/>
      </c>
      <c r="S155" s="7">
        <f>IF(O155=0,"Sí","No")</f>
        <v/>
      </c>
      <c r="T155" s="7">
        <f>IF(AND(ISNUMBER(K155),O155&lt;2),IF(K155&lt;INDEX('Por sistema'!$D$5:$D$9,MATCH(B155,'Por sistema'!$A$5:$A$9,0)),"Sí","No"),"No")</f>
        <v/>
      </c>
    </row>
    <row r="156">
      <c r="A156" s="7" t="inlineStr">
        <is>
          <t>sgas-2024-3</t>
        </is>
      </c>
      <c r="B156" s="7" t="inlineStr">
        <is>
          <t>SGAS</t>
        </is>
      </c>
      <c r="C156" s="7" t="inlineStr">
        <is>
          <t>Sistema de Gestión Antisoborno</t>
        </is>
      </c>
      <c r="D156" s="7" t="inlineStr">
        <is>
          <t>2024</t>
        </is>
      </c>
      <c r="E156" s="7" t="n">
        <v>3</v>
      </c>
      <c r="F156" s="13" t="inlineStr">
        <is>
          <t>Realizar la actualización del alcance del Sistema de Gestión Antisoborno de acuerdo con el alcance establecido por ICONTEC en la certificación del Sistema de Gestión.</t>
        </is>
      </c>
      <c r="G156" s="13" t="inlineStr">
        <is>
          <t>Sistema de Gestión Antisoborno</t>
        </is>
      </c>
      <c r="H156" s="13" t="inlineStr">
        <is>
          <t>Antisoborno</t>
        </is>
      </c>
      <c r="I156" s="13" t="inlineStr">
        <is>
          <t>Documento alcance del Sistema de Gestión Actualizado.</t>
        </is>
      </c>
      <c r="J156" s="13" t="inlineStr">
        <is>
          <t>31 de Octubre 2025.</t>
        </is>
      </c>
      <c r="K156" s="8" t="n">
        <v>45961</v>
      </c>
      <c r="L156" s="7">
        <f>COUNTIF(Seguimientos!$A$2:$A$1013,A156)</f>
        <v/>
      </c>
      <c r="M156" s="7">
        <f>SUMPRODUCT(MAX((Seguimientos!$A$2:$A$1013=A156)*(Seguimientos!$H$2:$H$1013&lt;&gt;"")*Seguimientos!$B$2:$B$1013))</f>
        <v/>
      </c>
      <c r="N156" s="8">
        <f>IF(M156=0,"",INDEX(Seguimientos!$F$2:$F$1013,MATCH(A156&amp;"|"&amp;M156,Seguimientos!$K$2:$K$1013,0)))</f>
        <v/>
      </c>
      <c r="O156" s="14">
        <f>IF(M156=0,0,INDEX(Seguimientos!$H$2:$H$1013,MATCH(A156&amp;"|"&amp;M156,Seguimientos!$K$2:$K$1013,0)))</f>
        <v/>
      </c>
      <c r="P156" s="9">
        <f>O156/2</f>
        <v/>
      </c>
      <c r="Q156" s="7">
        <f>INDEX(Escala!$B$2:$B$6,MATCH(O156,Escala!$A$2:$A$6,0))</f>
        <v/>
      </c>
      <c r="R156" s="7">
        <f>IF(O156=2,"Sí","No")</f>
        <v/>
      </c>
      <c r="S156" s="7">
        <f>IF(O156=0,"Sí","No")</f>
        <v/>
      </c>
      <c r="T156" s="7">
        <f>IF(AND(ISNUMBER(K156),O156&lt;2),IF(K156&lt;INDEX('Por sistema'!$D$5:$D$9,MATCH(B156,'Por sistema'!$A$5:$A$9,0)),"Sí","No"),"No")</f>
        <v/>
      </c>
    </row>
    <row r="157">
      <c r="A157" s="7" t="inlineStr">
        <is>
          <t>sgas-2024-4</t>
        </is>
      </c>
      <c r="B157" s="7" t="inlineStr">
        <is>
          <t>SGAS</t>
        </is>
      </c>
      <c r="C157" s="7" t="inlineStr">
        <is>
          <t>Sistema de Gestión Antisoborno</t>
        </is>
      </c>
      <c r="D157" s="7" t="inlineStr">
        <is>
          <t>2024</t>
        </is>
      </c>
      <c r="E157" s="7" t="n">
        <v>4</v>
      </c>
      <c r="F157" s="13" t="inlineStr">
        <is>
          <t>Hacer seguimiento a la implementación de las acciones correctivas para tratar las NC de las diferentes auditorías realizadas en la vigencia 2024.</t>
        </is>
      </c>
      <c r="G157" s="13" t="inlineStr">
        <is>
          <t>Sistema de Gestión Antisoborno</t>
        </is>
      </c>
      <c r="H157" s="13" t="inlineStr">
        <is>
          <t>Antisoborno</t>
        </is>
      </c>
      <c r="I157" s="13" t="inlineStr">
        <is>
          <t>Reporte estado de avance o cumplimiento planes de mejoramiento ICONTEC.</t>
        </is>
      </c>
      <c r="J157" s="13" t="inlineStr">
        <is>
          <t>30 de Septiembre 2025.</t>
        </is>
      </c>
      <c r="K157" s="8" t="n">
        <v>45930</v>
      </c>
      <c r="L157" s="7">
        <f>COUNTIF(Seguimientos!$A$2:$A$1013,A157)</f>
        <v/>
      </c>
      <c r="M157" s="7">
        <f>SUMPRODUCT(MAX((Seguimientos!$A$2:$A$1013=A157)*(Seguimientos!$H$2:$H$1013&lt;&gt;"")*Seguimientos!$B$2:$B$1013))</f>
        <v/>
      </c>
      <c r="N157" s="8">
        <f>IF(M157=0,"",INDEX(Seguimientos!$F$2:$F$1013,MATCH(A157&amp;"|"&amp;M157,Seguimientos!$K$2:$K$1013,0)))</f>
        <v/>
      </c>
      <c r="O157" s="14">
        <f>IF(M157=0,0,INDEX(Seguimientos!$H$2:$H$1013,MATCH(A157&amp;"|"&amp;M157,Seguimientos!$K$2:$K$1013,0)))</f>
        <v/>
      </c>
      <c r="P157" s="9">
        <f>O157/2</f>
        <v/>
      </c>
      <c r="Q157" s="7">
        <f>INDEX(Escala!$B$2:$B$6,MATCH(O157,Escala!$A$2:$A$6,0))</f>
        <v/>
      </c>
      <c r="R157" s="7">
        <f>IF(O157=2,"Sí","No")</f>
        <v/>
      </c>
      <c r="S157" s="7">
        <f>IF(O157=0,"Sí","No")</f>
        <v/>
      </c>
      <c r="T157" s="7">
        <f>IF(AND(ISNUMBER(K157),O157&lt;2),IF(K157&lt;INDEX('Por sistema'!$D$5:$D$9,MATCH(B157,'Por sistema'!$A$5:$A$9,0)),"Sí","No"),"No")</f>
        <v/>
      </c>
    </row>
    <row r="158">
      <c r="A158" s="7" t="inlineStr">
        <is>
          <t>sgas-2024-5</t>
        </is>
      </c>
      <c r="B158" s="7" t="inlineStr">
        <is>
          <t>SGAS</t>
        </is>
      </c>
      <c r="C158" s="7" t="inlineStr">
        <is>
          <t>Sistema de Gestión Antisoborno</t>
        </is>
      </c>
      <c r="D158" s="7" t="inlineStr">
        <is>
          <t>2024</t>
        </is>
      </c>
      <c r="E158" s="7" t="n">
        <v>5</v>
      </c>
      <c r="F158" s="13" t="inlineStr">
        <is>
          <t>Fortalecer las diferentes estrategias de sensibilización de los canales de denuncias, establecidos por la universidad de Cundinamarca a toda la comunidad universitaria.</t>
        </is>
      </c>
      <c r="G158" s="13" t="inlineStr">
        <is>
          <t>Sistema de Gestión Antisoborno</t>
        </is>
      </c>
      <c r="H158" s="13" t="inlineStr">
        <is>
          <t>Antisoborno</t>
        </is>
      </c>
      <c r="I158" s="13" t="inlineStr">
        <is>
          <t>Correos masivos. Socializaciones virtuales y presenciales sobre temas claves del Sistema de Gestión y fichas publicitarias.</t>
        </is>
      </c>
      <c r="J158" s="13" t="inlineStr">
        <is>
          <t>30 de Septiembre 2025.</t>
        </is>
      </c>
      <c r="K158" s="8" t="n">
        <v>45930</v>
      </c>
      <c r="L158" s="7">
        <f>COUNTIF(Seguimientos!$A$2:$A$1013,A158)</f>
        <v/>
      </c>
      <c r="M158" s="7">
        <f>SUMPRODUCT(MAX((Seguimientos!$A$2:$A$1013=A158)*(Seguimientos!$H$2:$H$1013&lt;&gt;"")*Seguimientos!$B$2:$B$1013))</f>
        <v/>
      </c>
      <c r="N158" s="8">
        <f>IF(M158=0,"",INDEX(Seguimientos!$F$2:$F$1013,MATCH(A158&amp;"|"&amp;M158,Seguimientos!$K$2:$K$1013,0)))</f>
        <v/>
      </c>
      <c r="O158" s="14">
        <f>IF(M158=0,0,INDEX(Seguimientos!$H$2:$H$1013,MATCH(A158&amp;"|"&amp;M158,Seguimientos!$K$2:$K$1013,0)))</f>
        <v/>
      </c>
      <c r="P158" s="9">
        <f>O158/2</f>
        <v/>
      </c>
      <c r="Q158" s="7">
        <f>INDEX(Escala!$B$2:$B$6,MATCH(O158,Escala!$A$2:$A$6,0))</f>
        <v/>
      </c>
      <c r="R158" s="7">
        <f>IF(O158=2,"Sí","No")</f>
        <v/>
      </c>
      <c r="S158" s="7">
        <f>IF(O158=0,"Sí","No")</f>
        <v/>
      </c>
      <c r="T158" s="7">
        <f>IF(AND(ISNUMBER(K158),O158&lt;2),IF(K158&lt;INDEX('Por sistema'!$D$5:$D$9,MATCH(B158,'Por sistema'!$A$5:$A$9,0)),"Sí","No"),"No")</f>
        <v/>
      </c>
    </row>
    <row r="159">
      <c r="A159" s="7" t="inlineStr">
        <is>
          <t>sgas-2024-6</t>
        </is>
      </c>
      <c r="B159" s="7" t="inlineStr">
        <is>
          <t>SGAS</t>
        </is>
      </c>
      <c r="C159" s="7" t="inlineStr">
        <is>
          <t>Sistema de Gestión Antisoborno</t>
        </is>
      </c>
      <c r="D159" s="7" t="inlineStr">
        <is>
          <t>2024</t>
        </is>
      </c>
      <c r="E159" s="7" t="n">
        <v>6</v>
      </c>
      <c r="F159" s="13" t="inlineStr">
        <is>
          <t>Realizar solicitudes periódicas y de dos vigencias anteriores a la dirección de Control Interno Disciplinario sobre investigaciones de soborno para la identificación, análisis y valoración de los riesgos de soborno por parte del Sistema de Gestión Antisoborno.</t>
        </is>
      </c>
      <c r="G159" s="13" t="inlineStr">
        <is>
          <t>Sistema de Gestión Antisoborno</t>
        </is>
      </c>
      <c r="H159" s="13" t="inlineStr">
        <is>
          <t>Antisoborno</t>
        </is>
      </c>
      <c r="I159" s="13" t="inlineStr">
        <is>
          <t>Solicitudes a través de correo institucional - Matriz riesgos de soborno.</t>
        </is>
      </c>
      <c r="J159" s="13" t="inlineStr">
        <is>
          <t>31 de Octubre 2025.</t>
        </is>
      </c>
      <c r="K159" s="8" t="n">
        <v>45961</v>
      </c>
      <c r="L159" s="7">
        <f>COUNTIF(Seguimientos!$A$2:$A$1013,A159)</f>
        <v/>
      </c>
      <c r="M159" s="7">
        <f>SUMPRODUCT(MAX((Seguimientos!$A$2:$A$1013=A159)*(Seguimientos!$H$2:$H$1013&lt;&gt;"")*Seguimientos!$B$2:$B$1013))</f>
        <v/>
      </c>
      <c r="N159" s="8">
        <f>IF(M159=0,"",INDEX(Seguimientos!$F$2:$F$1013,MATCH(A159&amp;"|"&amp;M159,Seguimientos!$K$2:$K$1013,0)))</f>
        <v/>
      </c>
      <c r="O159" s="14">
        <f>IF(M159=0,0,INDEX(Seguimientos!$H$2:$H$1013,MATCH(A159&amp;"|"&amp;M159,Seguimientos!$K$2:$K$1013,0)))</f>
        <v/>
      </c>
      <c r="P159" s="9">
        <f>O159/2</f>
        <v/>
      </c>
      <c r="Q159" s="7">
        <f>INDEX(Escala!$B$2:$B$6,MATCH(O159,Escala!$A$2:$A$6,0))</f>
        <v/>
      </c>
      <c r="R159" s="7">
        <f>IF(O159=2,"Sí","No")</f>
        <v/>
      </c>
      <c r="S159" s="7">
        <f>IF(O159=0,"Sí","No")</f>
        <v/>
      </c>
      <c r="T159" s="7">
        <f>IF(AND(ISNUMBER(K159),O159&lt;2),IF(K159&lt;INDEX('Por sistema'!$D$5:$D$9,MATCH(B159,'Por sistema'!$A$5:$A$9,0)),"Sí","No"),"No")</f>
        <v/>
      </c>
    </row>
    <row r="160">
      <c r="A160" s="7" t="inlineStr">
        <is>
          <t>sgas-2025-1</t>
        </is>
      </c>
      <c r="B160" s="7" t="inlineStr">
        <is>
          <t>SGAS</t>
        </is>
      </c>
      <c r="C160" s="7" t="inlineStr">
        <is>
          <t>Sistema de Gestión Antisoborno</t>
        </is>
      </c>
      <c r="D160" s="7" t="inlineStr">
        <is>
          <t>2025</t>
        </is>
      </c>
      <c r="E160" s="7" t="n">
        <v>1</v>
      </c>
      <c r="F160" s="13" t="inlineStr">
        <is>
          <t>Realizar plan de transición de las actividades a implementar para la actualización de la Norma ISO37001:2025 durante la vigencia 2026.</t>
        </is>
      </c>
      <c r="G160" s="13" t="inlineStr">
        <is>
          <t>Sistema de Gestión Antisoborno</t>
        </is>
      </c>
      <c r="H160" s="13" t="inlineStr">
        <is>
          <t>Antisoborno</t>
        </is>
      </c>
      <c r="I160" s="13" t="inlineStr">
        <is>
          <t>Documento plan de transición implementación de la ISO 37001:2025.</t>
        </is>
      </c>
      <c r="J160" s="13" t="inlineStr">
        <is>
          <t>30/06/2025</t>
        </is>
      </c>
      <c r="K160" s="8" t="n">
        <v>45838</v>
      </c>
      <c r="L160" s="7">
        <f>COUNTIF(Seguimientos!$A$2:$A$1013,A160)</f>
        <v/>
      </c>
      <c r="M160" s="7">
        <f>SUMPRODUCT(MAX((Seguimientos!$A$2:$A$1013=A160)*(Seguimientos!$H$2:$H$1013&lt;&gt;"")*Seguimientos!$B$2:$B$1013))</f>
        <v/>
      </c>
      <c r="N160" s="8">
        <f>IF(M160=0,"",INDEX(Seguimientos!$F$2:$F$1013,MATCH(A160&amp;"|"&amp;M160,Seguimientos!$K$2:$K$1013,0)))</f>
        <v/>
      </c>
      <c r="O160" s="14">
        <f>IF(M160=0,0,INDEX(Seguimientos!$H$2:$H$1013,MATCH(A160&amp;"|"&amp;M160,Seguimientos!$K$2:$K$1013,0)))</f>
        <v/>
      </c>
      <c r="P160" s="9">
        <f>O160/2</f>
        <v/>
      </c>
      <c r="Q160" s="7">
        <f>INDEX(Escala!$B$2:$B$6,MATCH(O160,Escala!$A$2:$A$6,0))</f>
        <v/>
      </c>
      <c r="R160" s="7">
        <f>IF(O160=2,"Sí","No")</f>
        <v/>
      </c>
      <c r="S160" s="7">
        <f>IF(O160=0,"Sí","No")</f>
        <v/>
      </c>
      <c r="T160" s="7">
        <f>IF(AND(ISNUMBER(K160),O160&lt;2),IF(K160&lt;INDEX('Por sistema'!$D$5:$D$9,MATCH(B160,'Por sistema'!$A$5:$A$9,0)),"Sí","No"),"No")</f>
        <v/>
      </c>
    </row>
    <row r="161">
      <c r="A161" s="7" t="inlineStr">
        <is>
          <t>sgas-2025-2</t>
        </is>
      </c>
      <c r="B161" s="7" t="inlineStr">
        <is>
          <t>SGAS</t>
        </is>
      </c>
      <c r="C161" s="7" t="inlineStr">
        <is>
          <t>Sistema de Gestión Antisoborno</t>
        </is>
      </c>
      <c r="D161" s="7" t="inlineStr">
        <is>
          <t>2025</t>
        </is>
      </c>
      <c r="E161" s="7" t="n">
        <v>2</v>
      </c>
      <c r="F161" s="13" t="inlineStr">
        <is>
          <t>Se requiere la actualización de la matriz de riesgos de soborno donde se identifiquen riesgos de soborno a los cargos políticamente expuestos para todos los procesos de la universidad.</t>
        </is>
      </c>
      <c r="G161" s="13" t="inlineStr">
        <is>
          <t>Sistema de Gestión Antisoborno</t>
        </is>
      </c>
      <c r="H161" s="13" t="inlineStr">
        <is>
          <t>Antisoborno</t>
        </is>
      </c>
      <c r="I161" s="13" t="inlineStr">
        <is>
          <t>Matriz de riesgos de soborno.</t>
        </is>
      </c>
      <c r="J161" s="13" t="inlineStr">
        <is>
          <t>30/06/2026</t>
        </is>
      </c>
      <c r="K161" s="8" t="n">
        <v>46203</v>
      </c>
      <c r="L161" s="7">
        <f>COUNTIF(Seguimientos!$A$2:$A$1013,A161)</f>
        <v/>
      </c>
      <c r="M161" s="7">
        <f>SUMPRODUCT(MAX((Seguimientos!$A$2:$A$1013=A161)*(Seguimientos!$H$2:$H$1013&lt;&gt;"")*Seguimientos!$B$2:$B$1013))</f>
        <v/>
      </c>
      <c r="N161" s="8">
        <f>IF(M161=0,"",INDEX(Seguimientos!$F$2:$F$1013,MATCH(A161&amp;"|"&amp;M161,Seguimientos!$K$2:$K$1013,0)))</f>
        <v/>
      </c>
      <c r="O161" s="14">
        <f>IF(M161=0,0,INDEX(Seguimientos!$H$2:$H$1013,MATCH(A161&amp;"|"&amp;M161,Seguimientos!$K$2:$K$1013,0)))</f>
        <v/>
      </c>
      <c r="P161" s="9">
        <f>O161/2</f>
        <v/>
      </c>
      <c r="Q161" s="7">
        <f>INDEX(Escala!$B$2:$B$6,MATCH(O161,Escala!$A$2:$A$6,0))</f>
        <v/>
      </c>
      <c r="R161" s="7">
        <f>IF(O161=2,"Sí","No")</f>
        <v/>
      </c>
      <c r="S161" s="7">
        <f>IF(O161=0,"Sí","No")</f>
        <v/>
      </c>
      <c r="T161" s="7">
        <f>IF(AND(ISNUMBER(K161),O161&lt;2),IF(K161&lt;INDEX('Por sistema'!$D$5:$D$9,MATCH(B161,'Por sistema'!$A$5:$A$9,0)),"Sí","No"),"No")</f>
        <v/>
      </c>
    </row>
    <row r="162">
      <c r="A162" s="7" t="inlineStr">
        <is>
          <t>sgas-2025-3</t>
        </is>
      </c>
      <c r="B162" s="7" t="inlineStr">
        <is>
          <t>SGAS</t>
        </is>
      </c>
      <c r="C162" s="7" t="inlineStr">
        <is>
          <t>Sistema de Gestión Antisoborno</t>
        </is>
      </c>
      <c r="D162" s="7" t="inlineStr">
        <is>
          <t>2025</t>
        </is>
      </c>
      <c r="E162" s="7" t="n">
        <v>3</v>
      </c>
      <c r="F162" s="13" t="inlineStr">
        <is>
          <t>Fortalecer las diferentes estrategias de sensibilización de los canales de denuncias, establecidos por la universidad de Cundinamarca a toda la comunidad universitaria.</t>
        </is>
      </c>
      <c r="G162" s="13" t="inlineStr">
        <is>
          <t>Sistema de Gestión Antisoborno</t>
        </is>
      </c>
      <c r="H162" s="13" t="inlineStr">
        <is>
          <t>Antisoborno</t>
        </is>
      </c>
      <c r="I162" s="13" t="inlineStr">
        <is>
          <t>Listas de asistencia Sensibilizaciones del Sistema de Gestión Antisoborno.</t>
        </is>
      </c>
      <c r="J162" s="13" t="inlineStr">
        <is>
          <t>31/10/2026</t>
        </is>
      </c>
      <c r="K162" s="8" t="n">
        <v>46326</v>
      </c>
      <c r="L162" s="7">
        <f>COUNTIF(Seguimientos!$A$2:$A$1013,A162)</f>
        <v/>
      </c>
      <c r="M162" s="7">
        <f>SUMPRODUCT(MAX((Seguimientos!$A$2:$A$1013=A162)*(Seguimientos!$H$2:$H$1013&lt;&gt;"")*Seguimientos!$B$2:$B$1013))</f>
        <v/>
      </c>
      <c r="N162" s="8">
        <f>IF(M162=0,"",INDEX(Seguimientos!$F$2:$F$1013,MATCH(A162&amp;"|"&amp;M162,Seguimientos!$K$2:$K$1013,0)))</f>
        <v/>
      </c>
      <c r="O162" s="14">
        <f>IF(M162=0,0,INDEX(Seguimientos!$H$2:$H$1013,MATCH(A162&amp;"|"&amp;M162,Seguimientos!$K$2:$K$1013,0)))</f>
        <v/>
      </c>
      <c r="P162" s="9">
        <f>O162/2</f>
        <v/>
      </c>
      <c r="Q162" s="7">
        <f>INDEX(Escala!$B$2:$B$6,MATCH(O162,Escala!$A$2:$A$6,0))</f>
        <v/>
      </c>
      <c r="R162" s="7">
        <f>IF(O162=2,"Sí","No")</f>
        <v/>
      </c>
      <c r="S162" s="7">
        <f>IF(O162=0,"Sí","No")</f>
        <v/>
      </c>
      <c r="T162" s="7">
        <f>IF(AND(ISNUMBER(K162),O162&lt;2),IF(K162&lt;INDEX('Por sistema'!$D$5:$D$9,MATCH(B162,'Por sistema'!$A$5:$A$9,0)),"Sí","No"),"No")</f>
        <v/>
      </c>
    </row>
    <row r="163">
      <c r="A163" s="7" t="inlineStr">
        <is>
          <t>sgas-2025-4</t>
        </is>
      </c>
      <c r="B163" s="7" t="inlineStr">
        <is>
          <t>SGAS</t>
        </is>
      </c>
      <c r="C163" s="7" t="inlineStr">
        <is>
          <t>Sistema de Gestión Antisoborno</t>
        </is>
      </c>
      <c r="D163" s="7" t="inlineStr">
        <is>
          <t>2025</t>
        </is>
      </c>
      <c r="E163" s="7" t="n">
        <v>4</v>
      </c>
      <c r="F163" s="13" t="inlineStr">
        <is>
          <t>Aplicación de debida diligencia intensificada para proveedores con mayores riesgos de soborno para verificación de origen de los recursos</t>
        </is>
      </c>
      <c r="G163" s="13" t="inlineStr">
        <is>
          <t>Sistema de Gestión Antisoborno</t>
        </is>
      </c>
      <c r="H163" s="13" t="inlineStr">
        <is>
          <t>Antisoborno</t>
        </is>
      </c>
      <c r="I163" s="13" t="inlineStr">
        <is>
          <t>Procedimiento de Debida Diligencia.</t>
        </is>
      </c>
      <c r="J163" s="13" t="inlineStr">
        <is>
          <t>30/06/2025</t>
        </is>
      </c>
      <c r="K163" s="8" t="n">
        <v>45838</v>
      </c>
      <c r="L163" s="7">
        <f>COUNTIF(Seguimientos!$A$2:$A$1013,A163)</f>
        <v/>
      </c>
      <c r="M163" s="7">
        <f>SUMPRODUCT(MAX((Seguimientos!$A$2:$A$1013=A163)*(Seguimientos!$H$2:$H$1013&lt;&gt;"")*Seguimientos!$B$2:$B$1013))</f>
        <v/>
      </c>
      <c r="N163" s="8">
        <f>IF(M163=0,"",INDEX(Seguimientos!$F$2:$F$1013,MATCH(A163&amp;"|"&amp;M163,Seguimientos!$K$2:$K$1013,0)))</f>
        <v/>
      </c>
      <c r="O163" s="14">
        <f>IF(M163=0,0,INDEX(Seguimientos!$H$2:$H$1013,MATCH(A163&amp;"|"&amp;M163,Seguimientos!$K$2:$K$1013,0)))</f>
        <v/>
      </c>
      <c r="P163" s="9">
        <f>O163/2</f>
        <v/>
      </c>
      <c r="Q163" s="7">
        <f>INDEX(Escala!$B$2:$B$6,MATCH(O163,Escala!$A$2:$A$6,0))</f>
        <v/>
      </c>
      <c r="R163" s="7">
        <f>IF(O163=2,"Sí","No")</f>
        <v/>
      </c>
      <c r="S163" s="7">
        <f>IF(O163=0,"Sí","No")</f>
        <v/>
      </c>
      <c r="T163" s="7">
        <f>IF(AND(ISNUMBER(K163),O163&lt;2),IF(K163&lt;INDEX('Por sistema'!$D$5:$D$9,MATCH(B163,'Por sistema'!$A$5:$A$9,0)),"Sí","No"),"No")</f>
        <v/>
      </c>
    </row>
  </sheetData>
  <autoFilter ref="A1:T163"/>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L1013"/>
  <sheetViews>
    <sheetView workbookViewId="0">
      <pane ySplit="1" topLeftCell="A2" activePane="bottomLeft" state="frozen"/>
      <selection pane="bottomLeft" activeCell="A1" sqref="A1"/>
    </sheetView>
  </sheetViews>
  <sheetFormatPr baseColWidth="8" defaultRowHeight="15"/>
  <cols>
    <col width="16" customWidth="1" min="1" max="1"/>
    <col width="6" customWidth="1" min="2" max="2"/>
    <col width="9" customWidth="1" min="3" max="3"/>
    <col width="9" customWidth="1" min="4" max="4"/>
    <col width="7" customWidth="1" min="5" max="5"/>
    <col width="13" customWidth="1" min="6" max="6"/>
    <col width="30" customWidth="1" min="7" max="7"/>
    <col width="12" customWidth="1" min="8" max="8"/>
    <col width="9" customWidth="1" min="9" max="9"/>
    <col width="11" customWidth="1" min="10" max="10"/>
    <col width="18" customWidth="1" min="11" max="11"/>
    <col width="110" customWidth="1" min="12" max="12"/>
  </cols>
  <sheetData>
    <row r="1" ht="30" customHeight="1">
      <c r="A1" s="6" t="inlineStr">
        <is>
          <t>ID OM</t>
        </is>
      </c>
      <c r="B1" s="6" t="inlineStr">
        <is>
          <t>N.º</t>
        </is>
      </c>
      <c r="C1" s="6" t="inlineStr">
        <is>
          <t>Sistema</t>
        </is>
      </c>
      <c r="D1" s="6" t="inlineStr">
        <is>
          <t>Vigencia</t>
        </is>
      </c>
      <c r="E1" s="6" t="inlineStr">
        <is>
          <t>PM N°</t>
        </is>
      </c>
      <c r="F1" s="6" t="inlineStr">
        <is>
          <t>Fecha de corte</t>
        </is>
      </c>
      <c r="G1" s="6" t="inlineStr">
        <is>
          <t>Funcionario</t>
        </is>
      </c>
      <c r="H1" s="6" t="inlineStr">
        <is>
          <t>Calificación</t>
        </is>
      </c>
      <c r="I1" s="6" t="inlineStr">
        <is>
          <t>Avance</t>
        </is>
      </c>
      <c r="J1" s="6" t="inlineStr">
        <is>
          <t>Cuenta en el corte</t>
        </is>
      </c>
      <c r="K1" s="6" t="inlineStr">
        <is>
          <t>Clave</t>
        </is>
      </c>
      <c r="L1" s="6" t="inlineStr">
        <is>
          <t>Observación</t>
        </is>
      </c>
    </row>
    <row r="2">
      <c r="A2" s="7" t="inlineStr">
        <is>
          <t>sgc-2022-1</t>
        </is>
      </c>
      <c r="B2" s="7" t="n">
        <v>1</v>
      </c>
      <c r="C2" s="7" t="inlineStr">
        <is>
          <t>SGC</t>
        </is>
      </c>
      <c r="D2" s="7" t="inlineStr">
        <is>
          <t>2022</t>
        </is>
      </c>
      <c r="E2" s="7" t="n">
        <v>1</v>
      </c>
      <c r="F2" s="8" t="n">
        <v>45133</v>
      </c>
      <c r="G2" s="7" t="inlineStr">
        <is>
          <t>DANIEL EDUARDO SOTO BERNAL</t>
        </is>
      </c>
      <c r="H2" s="14" t="n">
        <v>1</v>
      </c>
      <c r="I2" s="15">
        <f>IF(H2="","",H2/2)</f>
        <v/>
      </c>
      <c r="J2" s="7">
        <f>IF(H2="",0,IF(SUMPRODUCT((Seguimientos!$A$2:$A$1013=A2)*(Seguimientos!$F$2:$F$1013=F2)*(Seguimientos!$B$2:$B$1013&gt;B2)*(Seguimientos!$H$2:$H$1013&lt;&gt;""))=0,1,0))</f>
        <v/>
      </c>
      <c r="K2" s="7">
        <f>A2&amp;"|"&amp;B2</f>
        <v/>
      </c>
      <c r="L2" s="13" t="inlineStr">
        <is>
          <t>A la fecha se han actualizado los siguientes documentos de salidas no conformes: 2 Instructivos (MCTI001-MBUI014) 1 procedimiento (MFAP11) Se evidencia que aun falta SNC en los procesos Misionales</t>
        </is>
      </c>
    </row>
    <row r="3">
      <c r="A3" s="7" t="inlineStr">
        <is>
          <t>sgc-2022-1</t>
        </is>
      </c>
      <c r="B3" s="7" t="n">
        <v>2</v>
      </c>
      <c r="C3" s="7" t="inlineStr">
        <is>
          <t>SGC</t>
        </is>
      </c>
      <c r="D3" s="7" t="inlineStr">
        <is>
          <t>2022</t>
        </is>
      </c>
      <c r="E3" s="7" t="n">
        <v>1</v>
      </c>
      <c r="F3" s="8" t="n">
        <v>45245</v>
      </c>
      <c r="G3" s="7" t="inlineStr">
        <is>
          <t>DANIEL EDUARDO SOTO BERNAL</t>
        </is>
      </c>
      <c r="H3" s="14" t="n">
        <v>1</v>
      </c>
      <c r="I3" s="15">
        <f>IF(H3="","",H3/2)</f>
        <v/>
      </c>
      <c r="J3" s="7">
        <f>IF(H3="",0,IF(SUMPRODUCT((Seguimientos!$A$2:$A$1013=A3)*(Seguimientos!$F$2:$F$1013=F3)*(Seguimientos!$B$2:$B$1013&gt;B3)*(Seguimientos!$H$2:$H$1013&lt;&gt;""))=0,1,0))</f>
        <v/>
      </c>
      <c r="K3" s="7">
        <f>A3&amp;"|"&amp;B3</f>
        <v/>
      </c>
      <c r="L3" s="13" t="inlineStr">
        <is>
          <t>Se esta ala espera de actualización de las salidas no conformes en los procesos Misiones razón por la que no se ha podido dar avance a esta actividad propuesta</t>
        </is>
      </c>
    </row>
    <row r="4">
      <c r="A4" s="7" t="inlineStr">
        <is>
          <t>sgc-2022-1</t>
        </is>
      </c>
      <c r="B4" s="7" t="n">
        <v>3</v>
      </c>
      <c r="C4" s="7" t="inlineStr">
        <is>
          <t>SGC</t>
        </is>
      </c>
      <c r="D4" s="7" t="inlineStr">
        <is>
          <t>2022</t>
        </is>
      </c>
      <c r="E4" s="7" t="n">
        <v>1</v>
      </c>
      <c r="F4" s="8" t="n">
        <v>45405</v>
      </c>
      <c r="G4" s="7" t="inlineStr">
        <is>
          <t>DANIEL EDUARDO SOTO BERNAL</t>
        </is>
      </c>
      <c r="H4" s="14" t="n">
        <v>1</v>
      </c>
      <c r="I4" s="15">
        <f>IF(H4="","",H4/2)</f>
        <v/>
      </c>
      <c r="J4" s="7">
        <f>IF(H4="",0,IF(SUMPRODUCT((Seguimientos!$A$2:$A$1013=A4)*(Seguimientos!$F$2:$F$1013=F4)*(Seguimientos!$B$2:$B$1013&gt;B4)*(Seguimientos!$H$2:$H$1013&lt;&gt;""))=0,1,0))</f>
        <v/>
      </c>
      <c r="K4" s="7">
        <f>A4&amp;"|"&amp;B4</f>
        <v/>
      </c>
      <c r="L4" s="13" t="inlineStr">
        <is>
          <t>A la fecha se han actualizado los siguientes documentos de salidas no conformes: 3 Instructivos (MCTI001-MBUI014-AAAI017) 1 procedimiento (MFAP11)</t>
        </is>
      </c>
    </row>
    <row r="5">
      <c r="A5" s="7" t="inlineStr">
        <is>
          <t>sgc-2022-1</t>
        </is>
      </c>
      <c r="B5" s="7" t="n">
        <v>4</v>
      </c>
      <c r="C5" s="7" t="inlineStr">
        <is>
          <t>SGC</t>
        </is>
      </c>
      <c r="D5" s="7" t="inlineStr">
        <is>
          <t>2022</t>
        </is>
      </c>
      <c r="E5" s="7" t="n">
        <v>1</v>
      </c>
      <c r="F5" s="8" t="n">
        <v>45497</v>
      </c>
      <c r="G5" s="7" t="inlineStr">
        <is>
          <t>DANIEL EDUARDO SOTO BERNAL</t>
        </is>
      </c>
      <c r="H5" s="14" t="n">
        <v>1</v>
      </c>
      <c r="I5" s="15">
        <f>IF(H5="","",H5/2)</f>
        <v/>
      </c>
      <c r="J5" s="7">
        <f>IF(H5="",0,IF(SUMPRODUCT((Seguimientos!$A$2:$A$1013=A5)*(Seguimientos!$F$2:$F$1013=F5)*(Seguimientos!$B$2:$B$1013&gt;B5)*(Seguimientos!$H$2:$H$1013&lt;&gt;""))=0,1,0))</f>
        <v/>
      </c>
      <c r="K5" s="7">
        <f>A5&amp;"|"&amp;B5</f>
        <v/>
      </c>
      <c r="L5" s="13" t="inlineStr">
        <is>
          <t>Por decisión de Comisión de Gestión de 5 de junio de 2024 se estableció inactivar la totalidad de procedimientos de Salidas No Conformes que se encontraban replicados en los procesos que reportan salidas no conformes, generando un único procedimiento desde el Sistema de Gestión de la Calidad, actualmente el Sistema de Gestión se encuentra realizando los ajustes documentales pertinentes.</t>
        </is>
      </c>
    </row>
    <row r="6">
      <c r="A6" s="7" t="inlineStr">
        <is>
          <t>sgc-2022-1</t>
        </is>
      </c>
      <c r="B6" s="7" t="n">
        <v>5</v>
      </c>
      <c r="C6" s="7" t="inlineStr">
        <is>
          <t>SGC</t>
        </is>
      </c>
      <c r="D6" s="7" t="inlineStr">
        <is>
          <t>2022</t>
        </is>
      </c>
      <c r="E6" s="7" t="n">
        <v>1</v>
      </c>
      <c r="F6" s="8" t="n">
        <v>45583</v>
      </c>
      <c r="G6" s="7" t="inlineStr">
        <is>
          <t>DANIEL EDUARDO SOTO BERNAL</t>
        </is>
      </c>
      <c r="H6" s="14" t="n">
        <v>2</v>
      </c>
      <c r="I6" s="15">
        <f>IF(H6="","",H6/2)</f>
        <v/>
      </c>
      <c r="J6" s="7">
        <f>IF(H6="",0,IF(SUMPRODUCT((Seguimientos!$A$2:$A$1013=A6)*(Seguimientos!$F$2:$F$1013=F6)*(Seguimientos!$B$2:$B$1013&gt;B6)*(Seguimientos!$H$2:$H$1013&lt;&gt;""))=0,1,0))</f>
        <v/>
      </c>
      <c r="K6" s="7">
        <f>A6&amp;"|"&amp;B6</f>
        <v/>
      </c>
      <c r="L6" s="13" t="inlineStr">
        <is>
          <t>El 23 de Agosto de 2024 se inactivaron la totalidad de procedimientos de Salidas No Conformes y se creó un único procedimiento desde el Sistema de Gestión de la Calidad.</t>
        </is>
      </c>
    </row>
    <row r="7">
      <c r="A7" s="7" t="inlineStr">
        <is>
          <t>sgc-2022-1</t>
        </is>
      </c>
      <c r="B7" s="7" t="n">
        <v>6</v>
      </c>
      <c r="C7" s="7" t="inlineStr">
        <is>
          <t>SGC</t>
        </is>
      </c>
      <c r="D7" s="7" t="inlineStr">
        <is>
          <t>2022</t>
        </is>
      </c>
      <c r="E7" s="7" t="n">
        <v>1</v>
      </c>
      <c r="F7" s="8" t="n">
        <v>45777</v>
      </c>
      <c r="G7" s="7" t="inlineStr">
        <is>
          <t>DANIEL EDUARDO SOTO BERNAL</t>
        </is>
      </c>
      <c r="H7" s="14" t="n">
        <v>2</v>
      </c>
      <c r="I7" s="15">
        <f>IF(H7="","",H7/2)</f>
        <v/>
      </c>
      <c r="J7" s="7">
        <f>IF(H7="",0,IF(SUMPRODUCT((Seguimientos!$A$2:$A$1013=A7)*(Seguimientos!$F$2:$F$1013=F7)*(Seguimientos!$B$2:$B$1013&gt;B7)*(Seguimientos!$H$2:$H$1013&lt;&gt;""))=0,1,0))</f>
        <v/>
      </c>
      <c r="K7" s="7">
        <f>A7&amp;"|"&amp;B7</f>
        <v/>
      </c>
      <c r="L7" s="13" t="inlineStr">
        <is>
          <t>ACTIVIDAD COMPLETADA</t>
        </is>
      </c>
    </row>
    <row r="8">
      <c r="A8" s="7" t="inlineStr">
        <is>
          <t>sgc-2022-1</t>
        </is>
      </c>
      <c r="B8" s="7" t="n">
        <v>7</v>
      </c>
      <c r="C8" s="7" t="inlineStr">
        <is>
          <t>SGC</t>
        </is>
      </c>
      <c r="D8" s="7" t="inlineStr">
        <is>
          <t>2022</t>
        </is>
      </c>
      <c r="E8" s="7" t="n">
        <v>1</v>
      </c>
      <c r="F8" s="8" t="n">
        <v>45838</v>
      </c>
      <c r="G8" s="7" t="inlineStr">
        <is>
          <t>DANIEL EDUARDO SOTO BERNAL</t>
        </is>
      </c>
      <c r="H8" s="14" t="n">
        <v>2</v>
      </c>
      <c r="I8" s="15">
        <f>IF(H8="","",H8/2)</f>
        <v/>
      </c>
      <c r="J8" s="7">
        <f>IF(H8="",0,IF(SUMPRODUCT((Seguimientos!$A$2:$A$1013=A8)*(Seguimientos!$F$2:$F$1013=F8)*(Seguimientos!$B$2:$B$1013&gt;B8)*(Seguimientos!$H$2:$H$1013&lt;&gt;""))=0,1,0))</f>
        <v/>
      </c>
      <c r="K8" s="7">
        <f>A8&amp;"|"&amp;B8</f>
        <v/>
      </c>
      <c r="L8" s="13" t="inlineStr">
        <is>
          <t>ACTIVIDAD COMPLETADA</t>
        </is>
      </c>
    </row>
    <row r="9">
      <c r="A9" s="7" t="inlineStr">
        <is>
          <t>sgc-2022-1</t>
        </is>
      </c>
      <c r="B9" s="7" t="n">
        <v>8</v>
      </c>
      <c r="C9" s="7" t="inlineStr">
        <is>
          <t>SGC</t>
        </is>
      </c>
      <c r="D9" s="7" t="inlineStr">
        <is>
          <t>2022</t>
        </is>
      </c>
      <c r="E9" s="7" t="n">
        <v>1</v>
      </c>
      <c r="F9" s="8" t="n">
        <v>45930</v>
      </c>
      <c r="G9" s="7" t="inlineStr">
        <is>
          <t>Sin registrar</t>
        </is>
      </c>
      <c r="H9" s="14" t="n">
        <v>2</v>
      </c>
      <c r="I9" s="15">
        <f>IF(H9="","",H9/2)</f>
        <v/>
      </c>
      <c r="J9" s="7">
        <f>IF(H9="",0,IF(SUMPRODUCT((Seguimientos!$A$2:$A$1013=A9)*(Seguimientos!$F$2:$F$1013=F9)*(Seguimientos!$B$2:$B$1013&gt;B9)*(Seguimientos!$H$2:$H$1013&lt;&gt;""))=0,1,0))</f>
        <v/>
      </c>
      <c r="K9" s="7">
        <f>A9&amp;"|"&amp;B9</f>
        <v/>
      </c>
      <c r="L9" s="13" t="inlineStr">
        <is>
          <t>ACTIVIDAD COMPLETADA</t>
        </is>
      </c>
    </row>
    <row r="10">
      <c r="A10" s="7" t="inlineStr">
        <is>
          <t>sgc-2022-2</t>
        </is>
      </c>
      <c r="B10" s="7" t="n">
        <v>1</v>
      </c>
      <c r="C10" s="7" t="inlineStr">
        <is>
          <t>SGC</t>
        </is>
      </c>
      <c r="D10" s="7" t="inlineStr">
        <is>
          <t>2022</t>
        </is>
      </c>
      <c r="E10" s="7" t="n">
        <v>2</v>
      </c>
      <c r="F10" s="8" t="n">
        <v>45133</v>
      </c>
      <c r="G10" s="7" t="inlineStr">
        <is>
          <t>DANIEL EDUARDO SOTO BERNAL</t>
        </is>
      </c>
      <c r="H10" s="14" t="n">
        <v>1</v>
      </c>
      <c r="I10" s="15">
        <f>IF(H10="","",H10/2)</f>
        <v/>
      </c>
      <c r="J10" s="7">
        <f>IF(H10="",0,IF(SUMPRODUCT((Seguimientos!$A$2:$A$1013=A10)*(Seguimientos!$F$2:$F$1013=F10)*(Seguimientos!$B$2:$B$1013&gt;B10)*(Seguimientos!$H$2:$H$1013&lt;&gt;""))=0,1,0))</f>
        <v/>
      </c>
      <c r="K10" s="7">
        <f>A10&amp;"|"&amp;B10</f>
        <v/>
      </c>
      <c r="L10" s="13" t="inlineStr">
        <is>
          <t>Se tiene el contrato F-OCS- 103, contrato se realizó para el segundo periodo académico de la vigencia en curso 2023.</t>
        </is>
      </c>
    </row>
    <row r="11">
      <c r="A11" s="7" t="inlineStr">
        <is>
          <t>sgc-2022-2</t>
        </is>
      </c>
      <c r="B11" s="7" t="n">
        <v>2</v>
      </c>
      <c r="C11" s="7" t="inlineStr">
        <is>
          <t>SGC</t>
        </is>
      </c>
      <c r="D11" s="7" t="inlineStr">
        <is>
          <t>2022</t>
        </is>
      </c>
      <c r="E11" s="7" t="n">
        <v>2</v>
      </c>
      <c r="F11" s="8" t="n">
        <v>45245</v>
      </c>
      <c r="G11" s="7" t="inlineStr">
        <is>
          <t>DANIEL EDUARDO SOTO BERNAL</t>
        </is>
      </c>
      <c r="H11" s="14" t="n">
        <v>2</v>
      </c>
      <c r="I11" s="15">
        <f>IF(H11="","",H11/2)</f>
        <v/>
      </c>
      <c r="J11" s="7">
        <f>IF(H11="",0,IF(SUMPRODUCT((Seguimientos!$A$2:$A$1013=A11)*(Seguimientos!$F$2:$F$1013=F11)*(Seguimientos!$B$2:$B$1013&gt;B11)*(Seguimientos!$H$2:$H$1013&lt;&gt;""))=0,1,0))</f>
        <v/>
      </c>
      <c r="K11" s="7">
        <f>A11&amp;"|"&amp;B11</f>
        <v/>
      </c>
      <c r="L11" s="13" t="inlineStr">
        <is>
          <t>Se tiene el contrato F-OCS- 103, contrato se realizó para el segundo periodo académico de la vigencia en curso 2023. Ejecutado a corte de revisión con la AIAP CONSULTORES SAS.</t>
        </is>
      </c>
    </row>
    <row r="12">
      <c r="A12" s="7" t="inlineStr">
        <is>
          <t>sgc-2022-2</t>
        </is>
      </c>
      <c r="B12" s="7" t="n">
        <v>3</v>
      </c>
      <c r="C12" s="7" t="inlineStr">
        <is>
          <t>SGC</t>
        </is>
      </c>
      <c r="D12" s="7" t="inlineStr">
        <is>
          <t>2022</t>
        </is>
      </c>
      <c r="E12" s="7" t="n">
        <v>2</v>
      </c>
      <c r="F12" s="8" t="n">
        <v>45405</v>
      </c>
      <c r="G12" s="7" t="inlineStr">
        <is>
          <t>DANIEL EDUARDO SOTO BERNAL</t>
        </is>
      </c>
      <c r="H12" s="14" t="n">
        <v>2</v>
      </c>
      <c r="I12" s="15">
        <f>IF(H12="","",H12/2)</f>
        <v/>
      </c>
      <c r="J12" s="7">
        <f>IF(H12="",0,IF(SUMPRODUCT((Seguimientos!$A$2:$A$1013=A12)*(Seguimientos!$F$2:$F$1013=F12)*(Seguimientos!$B$2:$B$1013&gt;B12)*(Seguimientos!$H$2:$H$1013&lt;&gt;""))=0,1,0))</f>
        <v/>
      </c>
      <c r="K12" s="7">
        <f>A12&amp;"|"&amp;B12</f>
        <v/>
      </c>
      <c r="L12" s="13" t="inlineStr"/>
    </row>
    <row r="13">
      <c r="A13" s="7" t="inlineStr">
        <is>
          <t>sgc-2022-2</t>
        </is>
      </c>
      <c r="B13" s="7" t="n">
        <v>4</v>
      </c>
      <c r="C13" s="7" t="inlineStr">
        <is>
          <t>SGC</t>
        </is>
      </c>
      <c r="D13" s="7" t="inlineStr">
        <is>
          <t>2022</t>
        </is>
      </c>
      <c r="E13" s="7" t="n">
        <v>2</v>
      </c>
      <c r="F13" s="8" t="n">
        <v>45497</v>
      </c>
      <c r="G13" s="7" t="inlineStr">
        <is>
          <t>DANIEL EDUARDO SOTO BERNAL</t>
        </is>
      </c>
      <c r="H13" s="14" t="n">
        <v>2</v>
      </c>
      <c r="I13" s="15">
        <f>IF(H13="","",H13/2)</f>
        <v/>
      </c>
      <c r="J13" s="7">
        <f>IF(H13="",0,IF(SUMPRODUCT((Seguimientos!$A$2:$A$1013=A13)*(Seguimientos!$F$2:$F$1013=F13)*(Seguimientos!$B$2:$B$1013&gt;B13)*(Seguimientos!$H$2:$H$1013&lt;&gt;""))=0,1,0))</f>
        <v/>
      </c>
      <c r="K13" s="7">
        <f>A13&amp;"|"&amp;B13</f>
        <v/>
      </c>
      <c r="L13" s="13" t="inlineStr"/>
    </row>
    <row r="14">
      <c r="A14" s="7" t="inlineStr">
        <is>
          <t>sgc-2022-2</t>
        </is>
      </c>
      <c r="B14" s="7" t="n">
        <v>5</v>
      </c>
      <c r="C14" s="7" t="inlineStr">
        <is>
          <t>SGC</t>
        </is>
      </c>
      <c r="D14" s="7" t="inlineStr">
        <is>
          <t>2022</t>
        </is>
      </c>
      <c r="E14" s="7" t="n">
        <v>2</v>
      </c>
      <c r="F14" s="8" t="n">
        <v>45583</v>
      </c>
      <c r="G14" s="7" t="inlineStr">
        <is>
          <t>DANIEL EDUARDO SOTO BERNAL</t>
        </is>
      </c>
      <c r="H14" s="14" t="n">
        <v>2</v>
      </c>
      <c r="I14" s="15">
        <f>IF(H14="","",H14/2)</f>
        <v/>
      </c>
      <c r="J14" s="7">
        <f>IF(H14="",0,IF(SUMPRODUCT((Seguimientos!$A$2:$A$1013=A14)*(Seguimientos!$F$2:$F$1013=F14)*(Seguimientos!$B$2:$B$1013&gt;B14)*(Seguimientos!$H$2:$H$1013&lt;&gt;""))=0,1,0))</f>
        <v/>
      </c>
      <c r="K14" s="7">
        <f>A14&amp;"|"&amp;B14</f>
        <v/>
      </c>
      <c r="L14" s="13" t="inlineStr">
        <is>
          <t>ACTIVIDAD COMPLETADA</t>
        </is>
      </c>
    </row>
    <row r="15">
      <c r="A15" s="7" t="inlineStr">
        <is>
          <t>sgc-2022-2</t>
        </is>
      </c>
      <c r="B15" s="7" t="n">
        <v>6</v>
      </c>
      <c r="C15" s="7" t="inlineStr">
        <is>
          <t>SGC</t>
        </is>
      </c>
      <c r="D15" s="7" t="inlineStr">
        <is>
          <t>2022</t>
        </is>
      </c>
      <c r="E15" s="7" t="n">
        <v>2</v>
      </c>
      <c r="F15" s="8" t="n">
        <v>45777</v>
      </c>
      <c r="G15" s="7" t="inlineStr">
        <is>
          <t>DANIEL EDUARDO SOTO BERNAL</t>
        </is>
      </c>
      <c r="H15" s="14" t="n">
        <v>2</v>
      </c>
      <c r="I15" s="15">
        <f>IF(H15="","",H15/2)</f>
        <v/>
      </c>
      <c r="J15" s="7">
        <f>IF(H15="",0,IF(SUMPRODUCT((Seguimientos!$A$2:$A$1013=A15)*(Seguimientos!$F$2:$F$1013=F15)*(Seguimientos!$B$2:$B$1013&gt;B15)*(Seguimientos!$H$2:$H$1013&lt;&gt;""))=0,1,0))</f>
        <v/>
      </c>
      <c r="K15" s="7">
        <f>A15&amp;"|"&amp;B15</f>
        <v/>
      </c>
      <c r="L15" s="13" t="inlineStr">
        <is>
          <t>ACTIVIDAD COMPLETADA</t>
        </is>
      </c>
    </row>
    <row r="16">
      <c r="A16" s="7" t="inlineStr">
        <is>
          <t>sgc-2022-2</t>
        </is>
      </c>
      <c r="B16" s="7" t="n">
        <v>7</v>
      </c>
      <c r="C16" s="7" t="inlineStr">
        <is>
          <t>SGC</t>
        </is>
      </c>
      <c r="D16" s="7" t="inlineStr">
        <is>
          <t>2022</t>
        </is>
      </c>
      <c r="E16" s="7" t="n">
        <v>2</v>
      </c>
      <c r="F16" s="8" t="n">
        <v>45838</v>
      </c>
      <c r="G16" s="7" t="inlineStr">
        <is>
          <t>DANIEL EDUARDO SOTO BERNAL</t>
        </is>
      </c>
      <c r="H16" s="14" t="n">
        <v>2</v>
      </c>
      <c r="I16" s="15">
        <f>IF(H16="","",H16/2)</f>
        <v/>
      </c>
      <c r="J16" s="7">
        <f>IF(H16="",0,IF(SUMPRODUCT((Seguimientos!$A$2:$A$1013=A16)*(Seguimientos!$F$2:$F$1013=F16)*(Seguimientos!$B$2:$B$1013&gt;B16)*(Seguimientos!$H$2:$H$1013&lt;&gt;""))=0,1,0))</f>
        <v/>
      </c>
      <c r="K16" s="7">
        <f>A16&amp;"|"&amp;B16</f>
        <v/>
      </c>
      <c r="L16" s="13" t="inlineStr">
        <is>
          <t>ACTIVIDAD COMPLETADA</t>
        </is>
      </c>
    </row>
    <row r="17">
      <c r="A17" s="7" t="inlineStr">
        <is>
          <t>sgc-2022-2</t>
        </is>
      </c>
      <c r="B17" s="7" t="n">
        <v>8</v>
      </c>
      <c r="C17" s="7" t="inlineStr">
        <is>
          <t>SGC</t>
        </is>
      </c>
      <c r="D17" s="7" t="inlineStr">
        <is>
          <t>2022</t>
        </is>
      </c>
      <c r="E17" s="7" t="n">
        <v>2</v>
      </c>
      <c r="F17" s="8" t="n">
        <v>45930</v>
      </c>
      <c r="G17" s="7" t="inlineStr">
        <is>
          <t>Sin registrar</t>
        </is>
      </c>
      <c r="H17" s="14" t="n">
        <v>2</v>
      </c>
      <c r="I17" s="15">
        <f>IF(H17="","",H17/2)</f>
        <v/>
      </c>
      <c r="J17" s="7">
        <f>IF(H17="",0,IF(SUMPRODUCT((Seguimientos!$A$2:$A$1013=A17)*(Seguimientos!$F$2:$F$1013=F17)*(Seguimientos!$B$2:$B$1013&gt;B17)*(Seguimientos!$H$2:$H$1013&lt;&gt;""))=0,1,0))</f>
        <v/>
      </c>
      <c r="K17" s="7">
        <f>A17&amp;"|"&amp;B17</f>
        <v/>
      </c>
      <c r="L17" s="13" t="inlineStr">
        <is>
          <t>ACTIVIDAD COMPLETADA</t>
        </is>
      </c>
    </row>
    <row r="18">
      <c r="A18" s="7" t="inlineStr">
        <is>
          <t>sgc-2022-3</t>
        </is>
      </c>
      <c r="B18" s="7" t="n">
        <v>1</v>
      </c>
      <c r="C18" s="7" t="inlineStr">
        <is>
          <t>SGC</t>
        </is>
      </c>
      <c r="D18" s="7" t="inlineStr">
        <is>
          <t>2022</t>
        </is>
      </c>
      <c r="E18" s="7" t="n">
        <v>3</v>
      </c>
      <c r="F18" s="8" t="n">
        <v>45133</v>
      </c>
      <c r="G18" s="7" t="inlineStr">
        <is>
          <t>DANIEL EDUARDO SOTO BERNAL</t>
        </is>
      </c>
      <c r="H18" s="14" t="n">
        <v>0</v>
      </c>
      <c r="I18" s="15">
        <f>IF(H18="","",H18/2)</f>
        <v/>
      </c>
      <c r="J18" s="7">
        <f>IF(H18="",0,IF(SUMPRODUCT((Seguimientos!$A$2:$A$1013=A18)*(Seguimientos!$F$2:$F$1013=F18)*(Seguimientos!$B$2:$B$1013&gt;B18)*(Seguimientos!$H$2:$H$1013&lt;&gt;""))=0,1,0))</f>
        <v/>
      </c>
      <c r="K18" s="7">
        <f>A18&amp;"|"&amp;B18</f>
        <v/>
      </c>
      <c r="L18" s="13" t="inlineStr">
        <is>
          <t>Se encuentra pendiente la Sistematización de los formatos: ABSF049 - Reevaluación de Proveedores de Bienes. ABSF084 - Reevaluación de Proveedores de Servicios. Se ha hecho la entrega de las respectivas propuestas desde el Sistema de Gestión de Calidad el pasado</t>
        </is>
      </c>
    </row>
    <row r="19">
      <c r="A19" s="7" t="inlineStr">
        <is>
          <t>sgc-2022-3</t>
        </is>
      </c>
      <c r="B19" s="7" t="n">
        <v>2</v>
      </c>
      <c r="C19" s="7" t="inlineStr">
        <is>
          <t>SGC</t>
        </is>
      </c>
      <c r="D19" s="7" t="inlineStr">
        <is>
          <t>2022</t>
        </is>
      </c>
      <c r="E19" s="7" t="n">
        <v>3</v>
      </c>
      <c r="F19" s="8" t="n">
        <v>45245</v>
      </c>
      <c r="G19" s="7" t="inlineStr">
        <is>
          <t>DANIEL EDUARDO SOTO BERNAL</t>
        </is>
      </c>
      <c r="H19" s="14" t="n">
        <v>1</v>
      </c>
      <c r="I19" s="15">
        <f>IF(H19="","",H19/2)</f>
        <v/>
      </c>
      <c r="J19" s="7">
        <f>IF(H19="",0,IF(SUMPRODUCT((Seguimientos!$A$2:$A$1013=A19)*(Seguimientos!$F$2:$F$1013=F19)*(Seguimientos!$B$2:$B$1013&gt;B19)*(Seguimientos!$H$2:$H$1013&lt;&gt;""))=0,1,0))</f>
        <v/>
      </c>
      <c r="K19" s="7">
        <f>A19&amp;"|"&amp;B19</f>
        <v/>
      </c>
      <c r="L19" s="13" t="inlineStr">
        <is>
          <t>El proceso indica en toda la trazabilidad la gestión de los formatos antes mencionados estando en borrador para actualización y posterior publicación de sus versiones actualizadas 10/03/2023. En Reingeniería se trabajará con la Oficina de Compras para avanzar con la sistematización de los formatos en Integradoc.</t>
        </is>
      </c>
    </row>
    <row r="20">
      <c r="A20" s="7" t="inlineStr">
        <is>
          <t>sgc-2022-3</t>
        </is>
      </c>
      <c r="B20" s="7" t="n">
        <v>3</v>
      </c>
      <c r="C20" s="7" t="inlineStr">
        <is>
          <t>SGC</t>
        </is>
      </c>
      <c r="D20" s="7" t="inlineStr">
        <is>
          <t>2022</t>
        </is>
      </c>
      <c r="E20" s="7" t="n">
        <v>3</v>
      </c>
      <c r="F20" s="8" t="n">
        <v>45405</v>
      </c>
      <c r="G20" s="7" t="inlineStr">
        <is>
          <t>DANIEL EDUARDO SOTO BERNAL</t>
        </is>
      </c>
      <c r="H20" s="14" t="n">
        <v>1</v>
      </c>
      <c r="I20" s="15">
        <f>IF(H20="","",H20/2)</f>
        <v/>
      </c>
      <c r="J20" s="7">
        <f>IF(H20="",0,IF(SUMPRODUCT((Seguimientos!$A$2:$A$1013=A20)*(Seguimientos!$F$2:$F$1013=F20)*(Seguimientos!$B$2:$B$1013&gt;B20)*(Seguimientos!$H$2:$H$1013&lt;&gt;""))=0,1,0))</f>
        <v/>
      </c>
      <c r="K20" s="7">
        <f>A20&amp;"|"&amp;B20</f>
        <v/>
      </c>
      <c r="L20" s="13" t="inlineStr">
        <is>
          <t>Por la magnitud de los formatos ABSF049 - ABSF084 en su momento el proceso decide que los documentos sean cargados a Integradoc como soporte pero no digitalizados, sin embargo el Sistema de Gestión de Calidad se encuentra a la espera de la revisión de los formatos por parte del proceso.</t>
        </is>
      </c>
    </row>
    <row r="21">
      <c r="A21" s="7" t="inlineStr">
        <is>
          <t>sgc-2022-3</t>
        </is>
      </c>
      <c r="B21" s="7" t="n">
        <v>4</v>
      </c>
      <c r="C21" s="7" t="inlineStr">
        <is>
          <t>SGC</t>
        </is>
      </c>
      <c r="D21" s="7" t="inlineStr">
        <is>
          <t>2022</t>
        </is>
      </c>
      <c r="E21" s="7" t="n">
        <v>3</v>
      </c>
      <c r="F21" s="8" t="n">
        <v>45497</v>
      </c>
      <c r="G21" s="7" t="inlineStr">
        <is>
          <t>DANIEL EDUARDO SOTO BERNAL</t>
        </is>
      </c>
      <c r="H21" s="14" t="n">
        <v>1.5</v>
      </c>
      <c r="I21" s="15">
        <f>IF(H21="","",H21/2)</f>
        <v/>
      </c>
      <c r="J21" s="7">
        <f>IF(H21="",0,IF(SUMPRODUCT((Seguimientos!$A$2:$A$1013=A21)*(Seguimientos!$F$2:$F$1013=F21)*(Seguimientos!$B$2:$B$1013&gt;B21)*(Seguimientos!$H$2:$H$1013&lt;&gt;""))=0,1,0))</f>
        <v/>
      </c>
      <c r="K21" s="7">
        <f>A21&amp;"|"&amp;B21</f>
        <v/>
      </c>
      <c r="L21" s="13" t="inlineStr">
        <is>
          <t>REEVALUACIÓN DE PROVEEDORES DE BIENES (ABSF049) - Se inactivo el documento en abril de 2024 y se unifico con el formato ABSF145, unificando los criterios y facilitando la identificación del formato y el diligenciamiento del mismo. El formato es cargado a Integradoc como soporte pero no digitalizado.</t>
        </is>
      </c>
    </row>
    <row r="22">
      <c r="A22" s="7" t="inlineStr">
        <is>
          <t>sgc-2022-3</t>
        </is>
      </c>
      <c r="B22" s="7" t="n">
        <v>5</v>
      </c>
      <c r="C22" s="7" t="inlineStr">
        <is>
          <t>SGC</t>
        </is>
      </c>
      <c r="D22" s="7" t="inlineStr">
        <is>
          <t>2022</t>
        </is>
      </c>
      <c r="E22" s="7" t="n">
        <v>3</v>
      </c>
      <c r="F22" s="8" t="n">
        <v>45583</v>
      </c>
      <c r="G22" s="7" t="inlineStr">
        <is>
          <t>DANIEL EDUARDO SOTO BERNAL</t>
        </is>
      </c>
      <c r="H22" s="14" t="n">
        <v>2</v>
      </c>
      <c r="I22" s="15">
        <f>IF(H22="","",H22/2)</f>
        <v/>
      </c>
      <c r="J22" s="7">
        <f>IF(H22="",0,IF(SUMPRODUCT((Seguimientos!$A$2:$A$1013=A22)*(Seguimientos!$F$2:$F$1013=F22)*(Seguimientos!$B$2:$B$1013&gt;B22)*(Seguimientos!$H$2:$H$1013&lt;&gt;""))=0,1,0))</f>
        <v/>
      </c>
      <c r="K22" s="7">
        <f>A22&amp;"|"&amp;B22</f>
        <v/>
      </c>
      <c r="L22" s="13" t="inlineStr">
        <is>
          <t>En reingenieria se incluye notificacion al proveedor para v.b de la reevaluacion 1.supervisor carga la reevaluación del proveedor 2.compras valida que se encuentre correcta 3.Notificación al Proveedor 4. cinco días hábiles espera respuesta por el Proveedor respecto a su calificación 5. Si observaciones, se remiten al supervisor del contrato para verificación y efectuar ajustes, devolución a la tarea de cargar la Reevaluación versión 2.</t>
        </is>
      </c>
    </row>
    <row r="23">
      <c r="A23" s="7" t="inlineStr">
        <is>
          <t>sgc-2022-3</t>
        </is>
      </c>
      <c r="B23" s="7" t="n">
        <v>6</v>
      </c>
      <c r="C23" s="7" t="inlineStr">
        <is>
          <t>SGC</t>
        </is>
      </c>
      <c r="D23" s="7" t="inlineStr">
        <is>
          <t>2022</t>
        </is>
      </c>
      <c r="E23" s="7" t="n">
        <v>3</v>
      </c>
      <c r="F23" s="8" t="n">
        <v>45777</v>
      </c>
      <c r="G23" s="7" t="inlineStr">
        <is>
          <t>DANIEL EDUARDO SOTO BERNAL</t>
        </is>
      </c>
      <c r="H23" s="14" t="n">
        <v>2</v>
      </c>
      <c r="I23" s="15">
        <f>IF(H23="","",H23/2)</f>
        <v/>
      </c>
      <c r="J23" s="7">
        <f>IF(H23="",0,IF(SUMPRODUCT((Seguimientos!$A$2:$A$1013=A23)*(Seguimientos!$F$2:$F$1013=F23)*(Seguimientos!$B$2:$B$1013&gt;B23)*(Seguimientos!$H$2:$H$1013&lt;&gt;""))=0,1,0))</f>
        <v/>
      </c>
      <c r="K23" s="7">
        <f>A23&amp;"|"&amp;B23</f>
        <v/>
      </c>
      <c r="L23" s="13" t="inlineStr">
        <is>
          <t>ACTIVIDAD COMPLETADA</t>
        </is>
      </c>
    </row>
    <row r="24">
      <c r="A24" s="7" t="inlineStr">
        <is>
          <t>sgc-2022-3</t>
        </is>
      </c>
      <c r="B24" s="7" t="n">
        <v>7</v>
      </c>
      <c r="C24" s="7" t="inlineStr">
        <is>
          <t>SGC</t>
        </is>
      </c>
      <c r="D24" s="7" t="inlineStr">
        <is>
          <t>2022</t>
        </is>
      </c>
      <c r="E24" s="7" t="n">
        <v>3</v>
      </c>
      <c r="F24" s="8" t="n">
        <v>45838</v>
      </c>
      <c r="G24" s="7" t="inlineStr">
        <is>
          <t>DANIEL EDUARDO SOTO BERNAL</t>
        </is>
      </c>
      <c r="H24" s="14" t="n">
        <v>2</v>
      </c>
      <c r="I24" s="15">
        <f>IF(H24="","",H24/2)</f>
        <v/>
      </c>
      <c r="J24" s="7">
        <f>IF(H24="",0,IF(SUMPRODUCT((Seguimientos!$A$2:$A$1013=A24)*(Seguimientos!$F$2:$F$1013=F24)*(Seguimientos!$B$2:$B$1013&gt;B24)*(Seguimientos!$H$2:$H$1013&lt;&gt;""))=0,1,0))</f>
        <v/>
      </c>
      <c r="K24" s="7">
        <f>A24&amp;"|"&amp;B24</f>
        <v/>
      </c>
      <c r="L24" s="13" t="inlineStr">
        <is>
          <t>ACTIVIDAD COMPLETADA</t>
        </is>
      </c>
    </row>
    <row r="25">
      <c r="A25" s="7" t="inlineStr">
        <is>
          <t>sgc-2022-3</t>
        </is>
      </c>
      <c r="B25" s="7" t="n">
        <v>8</v>
      </c>
      <c r="C25" s="7" t="inlineStr">
        <is>
          <t>SGC</t>
        </is>
      </c>
      <c r="D25" s="7" t="inlineStr">
        <is>
          <t>2022</t>
        </is>
      </c>
      <c r="E25" s="7" t="n">
        <v>3</v>
      </c>
      <c r="F25" s="8" t="n">
        <v>45930</v>
      </c>
      <c r="G25" s="7" t="inlineStr">
        <is>
          <t>Sin registrar</t>
        </is>
      </c>
      <c r="H25" s="14" t="n">
        <v>2</v>
      </c>
      <c r="I25" s="15">
        <f>IF(H25="","",H25/2)</f>
        <v/>
      </c>
      <c r="J25" s="7">
        <f>IF(H25="",0,IF(SUMPRODUCT((Seguimientos!$A$2:$A$1013=A25)*(Seguimientos!$F$2:$F$1013=F25)*(Seguimientos!$B$2:$B$1013&gt;B25)*(Seguimientos!$H$2:$H$1013&lt;&gt;""))=0,1,0))</f>
        <v/>
      </c>
      <c r="K25" s="7">
        <f>A25&amp;"|"&amp;B25</f>
        <v/>
      </c>
      <c r="L25" s="13" t="inlineStr">
        <is>
          <t>ACTIVIDAD COMPLETADA</t>
        </is>
      </c>
    </row>
    <row r="26">
      <c r="A26" s="7" t="inlineStr">
        <is>
          <t>sgc-2022-4</t>
        </is>
      </c>
      <c r="B26" s="7" t="n">
        <v>1</v>
      </c>
      <c r="C26" s="7" t="inlineStr">
        <is>
          <t>SGC</t>
        </is>
      </c>
      <c r="D26" s="7" t="inlineStr">
        <is>
          <t>2022</t>
        </is>
      </c>
      <c r="E26" s="7" t="n">
        <v>4</v>
      </c>
      <c r="F26" s="8" t="n">
        <v>45133</v>
      </c>
      <c r="G26" s="7" t="inlineStr">
        <is>
          <t>DANIEL EDUARDO SOTO BERNAL</t>
        </is>
      </c>
      <c r="H26" s="14" t="n">
        <v>1</v>
      </c>
      <c r="I26" s="15">
        <f>IF(H26="","",H26/2)</f>
        <v/>
      </c>
      <c r="J26" s="7">
        <f>IF(H26="",0,IF(SUMPRODUCT((Seguimientos!$A$2:$A$1013=A26)*(Seguimientos!$F$2:$F$1013=F26)*(Seguimientos!$B$2:$B$1013&gt;B26)*(Seguimientos!$H$2:$H$1013&lt;&gt;""))=0,1,0))</f>
        <v/>
      </c>
      <c r="K26" s="7">
        <f>A26&amp;"|"&amp;B26</f>
        <v/>
      </c>
      <c r="L26" s="13" t="inlineStr">
        <is>
          <t>1. El 9/03/2023 se envía correo a la Oficina de Compras, en donde se solicita la actualización de la data del personal de planta que esta asignado como Supervisores. 2. Desde las métricas en tiempo real del procedimiento de Supervisión de Contratos en Integradoc se revisan los posibles cuellos de botella que se presentan dentro de las tareas de este procedimiento, en donde se ha visto una disminución en las tareas pendientes de la tarea: Registro de Almacén de Producto o Servicio que para el segundo semestre del 2022 presentaba mas de 200 actividades con un reporte a la fecha de 38. Esta pendiente seguir realizando la revisión de estas actividades que ahora presenta novedad en la tarea de: Verificar pertinencia de documentos del Proceso.</t>
        </is>
      </c>
    </row>
    <row r="27">
      <c r="A27" s="7" t="inlineStr">
        <is>
          <t>sgc-2022-4</t>
        </is>
      </c>
      <c r="B27" s="7" t="n">
        <v>2</v>
      </c>
      <c r="C27" s="7" t="inlineStr">
        <is>
          <t>SGC</t>
        </is>
      </c>
      <c r="D27" s="7" t="inlineStr">
        <is>
          <t>2022</t>
        </is>
      </c>
      <c r="E27" s="7" t="n">
        <v>4</v>
      </c>
      <c r="F27" s="8" t="n">
        <v>45245</v>
      </c>
      <c r="G27" s="7" t="inlineStr">
        <is>
          <t>DANIEL EDUARDO SOTO BERNAL</t>
        </is>
      </c>
      <c r="H27" s="14" t="n">
        <v>1</v>
      </c>
      <c r="I27" s="15">
        <f>IF(H27="","",H27/2)</f>
        <v/>
      </c>
      <c r="J27" s="7">
        <f>IF(H27="",0,IF(SUMPRODUCT((Seguimientos!$A$2:$A$1013=A27)*(Seguimientos!$F$2:$F$1013=F27)*(Seguimientos!$B$2:$B$1013&gt;B27)*(Seguimientos!$H$2:$H$1013&lt;&gt;""))=0,1,0))</f>
        <v/>
      </c>
      <c r="K27" s="7">
        <f>A27&amp;"|"&amp;B27</f>
        <v/>
      </c>
      <c r="L27" s="13" t="inlineStr">
        <is>
          <t>Esta pendiente seguir realizando la revisión de estas actividades que ahora presenta novedad en la tarea de: Verificar pertinencia de documentos del Proceso.</t>
        </is>
      </c>
    </row>
    <row r="28">
      <c r="A28" s="7" t="inlineStr">
        <is>
          <t>sgc-2022-4</t>
        </is>
      </c>
      <c r="B28" s="7" t="n">
        <v>3</v>
      </c>
      <c r="C28" s="7" t="inlineStr">
        <is>
          <t>SGC</t>
        </is>
      </c>
      <c r="D28" s="7" t="inlineStr">
        <is>
          <t>2022</t>
        </is>
      </c>
      <c r="E28" s="7" t="n">
        <v>4</v>
      </c>
      <c r="F28" s="8" t="n">
        <v>45405</v>
      </c>
      <c r="G28" s="7" t="inlineStr">
        <is>
          <t>DANIEL EDUARDO SOTO BERNAL</t>
        </is>
      </c>
      <c r="H28" s="14" t="n">
        <v>1</v>
      </c>
      <c r="I28" s="15">
        <f>IF(H28="","",H28/2)</f>
        <v/>
      </c>
      <c r="J28" s="7">
        <f>IF(H28="",0,IF(SUMPRODUCT((Seguimientos!$A$2:$A$1013=A28)*(Seguimientos!$F$2:$F$1013=F28)*(Seguimientos!$B$2:$B$1013&gt;B28)*(Seguimientos!$H$2:$H$1013&lt;&gt;""))=0,1,0))</f>
        <v/>
      </c>
      <c r="K28" s="7">
        <f>A28&amp;"|"&amp;B28</f>
        <v/>
      </c>
      <c r="L28" s="13" t="inlineStr">
        <is>
          <t>El Sistema de Gestión de Calidad se encuentra a la espera de la actualización de la circular 006.</t>
        </is>
      </c>
    </row>
    <row r="29">
      <c r="A29" s="7" t="inlineStr">
        <is>
          <t>sgc-2022-4</t>
        </is>
      </c>
      <c r="B29" s="7" t="n">
        <v>4</v>
      </c>
      <c r="C29" s="7" t="inlineStr">
        <is>
          <t>SGC</t>
        </is>
      </c>
      <c r="D29" s="7" t="inlineStr">
        <is>
          <t>2022</t>
        </is>
      </c>
      <c r="E29" s="7" t="n">
        <v>4</v>
      </c>
      <c r="F29" s="8" t="n">
        <v>45497</v>
      </c>
      <c r="G29" s="7" t="inlineStr">
        <is>
          <t>DANIEL EDUARDO SOTO BERNAL</t>
        </is>
      </c>
      <c r="H29" s="14" t="n">
        <v>1.5</v>
      </c>
      <c r="I29" s="15">
        <f>IF(H29="","",H29/2)</f>
        <v/>
      </c>
      <c r="J29" s="7">
        <f>IF(H29="",0,IF(SUMPRODUCT((Seguimientos!$A$2:$A$1013=A29)*(Seguimientos!$F$2:$F$1013=F29)*(Seguimientos!$B$2:$B$1013&gt;B29)*(Seguimientos!$H$2:$H$1013&lt;&gt;""))=0,1,0))</f>
        <v/>
      </c>
      <c r="K29" s="7">
        <f>A29&amp;"|"&amp;B29</f>
        <v/>
      </c>
      <c r="L29" s="13" t="inlineStr">
        <is>
          <t>A la fecha no ha sido actualizada la Circular 006 de 2022, sin embargo se ha realizado actualización del Procedimiento ABSP18, igualmente se ha realizado ajustes en la herramienta Integradoc a los siguientes módulos: * Se digitalizo en la herramienta Integradoc el formulario la Carta de notificación a supervisor. * Se realizó ajuste en la herramienta Integradoc en el proceso de liquidación de contratos con Acta de liquidación procesos que superan los 100 salarios mínimos la asignación de la tarea a la Oficina de Tesorería para adjuntar el detalle de pagos reduciendo al área de Tesorería reprocesos al recibir la misma solicitud de detalle de pagos por SAIIA, correo electrónico y Teams. Únicamente llegará la solicitud por EL IDENTIFICADOR PRUSUP y continua con la gestión del Supervisor y de Compras de acuerdo con el procedimiento. * Se solicitó ajuste en el flujo de tareas para los procesos que tienen vigencia de un año (dicha configuración puede ser realizada por medio de temporizadores. * Se actualizaron los campos para cargue de evaluación y reevaluación de proveedores, se unificaron formatos, se estableció programador de fecha para realizar la evaluación de proveedor. *suspensión y reinicio de contratos se encuentran en modelamiento con ajustes solicitados por el proceso.</t>
        </is>
      </c>
    </row>
    <row r="30">
      <c r="A30" s="7" t="inlineStr">
        <is>
          <t>sgc-2022-4</t>
        </is>
      </c>
      <c r="B30" s="7" t="n">
        <v>5</v>
      </c>
      <c r="C30" s="7" t="inlineStr">
        <is>
          <t>SGC</t>
        </is>
      </c>
      <c r="D30" s="7" t="inlineStr">
        <is>
          <t>2022</t>
        </is>
      </c>
      <c r="E30" s="7" t="n">
        <v>4</v>
      </c>
      <c r="F30" s="8" t="n">
        <v>45583</v>
      </c>
      <c r="G30" s="7" t="inlineStr">
        <is>
          <t>DANIEL EDUARDO SOTO BERNAL</t>
        </is>
      </c>
      <c r="H30" s="14" t="n">
        <v>1.5</v>
      </c>
      <c r="I30" s="15">
        <f>IF(H30="","",H30/2)</f>
        <v/>
      </c>
      <c r="J30" s="7">
        <f>IF(H30="",0,IF(SUMPRODUCT((Seguimientos!$A$2:$A$1013=A30)*(Seguimientos!$F$2:$F$1013=F30)*(Seguimientos!$B$2:$B$1013&gt;B30)*(Seguimientos!$H$2:$H$1013&lt;&gt;""))=0,1,0))</f>
        <v/>
      </c>
      <c r="K30" s="7">
        <f>A30&amp;"|"&amp;B30</f>
        <v/>
      </c>
      <c r="L30" s="13" t="inlineStr">
        <is>
          <t>A la fecha no ha sido actualizada la Circular 006 de 2022. Todos los procesos en modelamiento en integradoc se encuentran funcionales y estables. herramienta Integradoc en el proceso</t>
        </is>
      </c>
    </row>
    <row r="31">
      <c r="A31" s="7" t="inlineStr">
        <is>
          <t>sgc-2022-4</t>
        </is>
      </c>
      <c r="B31" s="7" t="n">
        <v>6</v>
      </c>
      <c r="C31" s="7" t="inlineStr">
        <is>
          <t>SGC</t>
        </is>
      </c>
      <c r="D31" s="7" t="inlineStr">
        <is>
          <t>2022</t>
        </is>
      </c>
      <c r="E31" s="7" t="n">
        <v>4</v>
      </c>
      <c r="F31" s="8" t="n">
        <v>45777</v>
      </c>
      <c r="G31" s="7" t="inlineStr">
        <is>
          <t>DANIEL EDUARDO SOTO BERNAL</t>
        </is>
      </c>
      <c r="H31" s="14" t="n">
        <v>1.5</v>
      </c>
      <c r="I31" s="15">
        <f>IF(H31="","",H31/2)</f>
        <v/>
      </c>
      <c r="J31" s="7">
        <f>IF(H31="",0,IF(SUMPRODUCT((Seguimientos!$A$2:$A$1013=A31)*(Seguimientos!$F$2:$F$1013=F31)*(Seguimientos!$B$2:$B$1013&gt;B31)*(Seguimientos!$H$2:$H$1013&lt;&gt;""))=0,1,0))</f>
        <v/>
      </c>
      <c r="K31" s="7">
        <f>A31&amp;"|"&amp;B31</f>
        <v/>
      </c>
      <c r="L31" s="13" t="inlineStr">
        <is>
          <t>ACTIVIDAD NO PRESENTA AVANCE</t>
        </is>
      </c>
    </row>
    <row r="32">
      <c r="A32" s="7" t="inlineStr">
        <is>
          <t>sgc-2022-4</t>
        </is>
      </c>
      <c r="B32" s="7" t="n">
        <v>7</v>
      </c>
      <c r="C32" s="7" t="inlineStr">
        <is>
          <t>SGC</t>
        </is>
      </c>
      <c r="D32" s="7" t="inlineStr">
        <is>
          <t>2022</t>
        </is>
      </c>
      <c r="E32" s="7" t="n">
        <v>4</v>
      </c>
      <c r="F32" s="8" t="n">
        <v>45838</v>
      </c>
      <c r="G32" s="7" t="inlineStr">
        <is>
          <t>DANIEL EDUARDO SOTO BERNAL</t>
        </is>
      </c>
      <c r="H32" s="14" t="n">
        <v>1.5</v>
      </c>
      <c r="I32" s="15">
        <f>IF(H32="","",H32/2)</f>
        <v/>
      </c>
      <c r="J32" s="7">
        <f>IF(H32="",0,IF(SUMPRODUCT((Seguimientos!$A$2:$A$1013=A32)*(Seguimientos!$F$2:$F$1013=F32)*(Seguimientos!$B$2:$B$1013&gt;B32)*(Seguimientos!$H$2:$H$1013&lt;&gt;""))=0,1,0))</f>
        <v/>
      </c>
      <c r="K32" s="7">
        <f>A32&amp;"|"&amp;B32</f>
        <v/>
      </c>
      <c r="L32" s="13" t="inlineStr">
        <is>
          <t>ACTIVIDAD NO PRESENTA AVANCE</t>
        </is>
      </c>
    </row>
    <row r="33">
      <c r="A33" s="7" t="inlineStr">
        <is>
          <t>sgc-2022-4</t>
        </is>
      </c>
      <c r="B33" s="7" t="n">
        <v>8</v>
      </c>
      <c r="C33" s="7" t="inlineStr">
        <is>
          <t>SGC</t>
        </is>
      </c>
      <c r="D33" s="7" t="inlineStr">
        <is>
          <t>2022</t>
        </is>
      </c>
      <c r="E33" s="7" t="n">
        <v>4</v>
      </c>
      <c r="F33" s="8" t="n">
        <v>45930</v>
      </c>
      <c r="G33" s="7" t="inlineStr">
        <is>
          <t>Sin registrar</t>
        </is>
      </c>
      <c r="H33" s="14" t="n">
        <v>2</v>
      </c>
      <c r="I33" s="15">
        <f>IF(H33="","",H33/2)</f>
        <v/>
      </c>
      <c r="J33" s="7">
        <f>IF(H33="",0,IF(SUMPRODUCT((Seguimientos!$A$2:$A$1013=A33)*(Seguimientos!$F$2:$F$1013=F33)*(Seguimientos!$B$2:$B$1013&gt;B33)*(Seguimientos!$H$2:$H$1013&lt;&gt;""))=0,1,0))</f>
        <v/>
      </c>
      <c r="K33" s="7">
        <f>A33&amp;"|"&amp;B33</f>
        <v/>
      </c>
      <c r="L33" s="13" t="inlineStr">
        <is>
          <t>Se identifica que: Todos los procedimientos del proceso de Compras modelados en Integradoc se encuentran funcionales y estables. Se cuenta con un nuevo módulo de contratación para la adquisición de bienes y servicios. Los procedimientos se encuentran actualizados y publicados en el Modelo de Operación Digital (MOD), correspondientes a: ABSP01 – Adquisición de Bienes, Servicios u Obras por Contratación Directa. ABSP15 – Adquisición de Bienes, Servicios u Obras por Invitación Privada o Pública. ABSP18 – Supervisores e Interventores. Cumpliendo asi con el entregable de la actividad</t>
        </is>
      </c>
    </row>
    <row r="34">
      <c r="A34" s="7" t="inlineStr">
        <is>
          <t>sgc-2022-4-sn1u5ppt</t>
        </is>
      </c>
      <c r="B34" s="7" t="n">
        <v>1</v>
      </c>
      <c r="C34" s="7" t="inlineStr">
        <is>
          <t>SGC</t>
        </is>
      </c>
      <c r="D34" s="7" t="inlineStr">
        <is>
          <t>2022</t>
        </is>
      </c>
      <c r="E34" s="7" t="n">
        <v>4</v>
      </c>
      <c r="F34" s="8" t="n">
        <v>45133</v>
      </c>
      <c r="G34" s="7" t="inlineStr">
        <is>
          <t>DANIEL EDUARDO SOTO BERNAL</t>
        </is>
      </c>
      <c r="H34" s="14" t="n">
        <v>0</v>
      </c>
      <c r="I34" s="15">
        <f>IF(H34="","",H34/2)</f>
        <v/>
      </c>
      <c r="J34" s="7">
        <f>IF(H34="",0,IF(SUMPRODUCT((Seguimientos!$A$2:$A$1013=A34)*(Seguimientos!$F$2:$F$1013=F34)*(Seguimientos!$B$2:$B$1013&gt;B34)*(Seguimientos!$H$2:$H$1013&lt;&gt;""))=0,1,0))</f>
        <v/>
      </c>
      <c r="K34" s="7">
        <f>A34&amp;"|"&amp;B34</f>
        <v/>
      </c>
      <c r="L34" s="13" t="inlineStr">
        <is>
          <t>Se encuentra en revisión por la Dirección de Bienes Y Servicios, antes de pasar a la Oficina de Compras.</t>
        </is>
      </c>
    </row>
    <row r="35">
      <c r="A35" s="7" t="inlineStr">
        <is>
          <t>sgc-2022-4-sn1u5ppt</t>
        </is>
      </c>
      <c r="B35" s="7" t="n">
        <v>2</v>
      </c>
      <c r="C35" s="7" t="inlineStr">
        <is>
          <t>SGC</t>
        </is>
      </c>
      <c r="D35" s="7" t="inlineStr">
        <is>
          <t>2022</t>
        </is>
      </c>
      <c r="E35" s="7" t="n">
        <v>4</v>
      </c>
      <c r="F35" s="8" t="n">
        <v>45245</v>
      </c>
      <c r="G35" s="7" t="inlineStr">
        <is>
          <t>DANIEL EDUARDO SOTO BERNAL</t>
        </is>
      </c>
      <c r="H35" s="14" t="n">
        <v>1</v>
      </c>
      <c r="I35" s="15">
        <f>IF(H35="","",H35/2)</f>
        <v/>
      </c>
      <c r="J35" s="7">
        <f>IF(H35="",0,IF(SUMPRODUCT((Seguimientos!$A$2:$A$1013=A35)*(Seguimientos!$F$2:$F$1013=F35)*(Seguimientos!$B$2:$B$1013&gt;B35)*(Seguimientos!$H$2:$H$1013&lt;&gt;""))=0,1,0))</f>
        <v/>
      </c>
      <c r="K35" s="7">
        <f>A35&amp;"|"&amp;B35</f>
        <v/>
      </c>
      <c r="L35" s="13" t="inlineStr">
        <is>
          <t>Esta pendiente seguir realizando la revisión de estas actividades que ahora presenta novedad en la tarea de: Verificar pertinencia de documentos del Proceso.</t>
        </is>
      </c>
    </row>
    <row r="36">
      <c r="A36" s="7" t="inlineStr">
        <is>
          <t>sgc-2022-4-sn1u5ppt</t>
        </is>
      </c>
      <c r="B36" s="7" t="n">
        <v>3</v>
      </c>
      <c r="C36" s="7" t="inlineStr">
        <is>
          <t>SGC</t>
        </is>
      </c>
      <c r="D36" s="7" t="inlineStr">
        <is>
          <t>2022</t>
        </is>
      </c>
      <c r="E36" s="7" t="n">
        <v>4</v>
      </c>
      <c r="F36" s="8" t="n">
        <v>45405</v>
      </c>
      <c r="G36" s="7" t="inlineStr">
        <is>
          <t>DANIEL EDUARDO SOTO BERNAL</t>
        </is>
      </c>
      <c r="H36" s="14" t="n">
        <v>1</v>
      </c>
      <c r="I36" s="15">
        <f>IF(H36="","",H36/2)</f>
        <v/>
      </c>
      <c r="J36" s="7">
        <f>IF(H36="",0,IF(SUMPRODUCT((Seguimientos!$A$2:$A$1013=A36)*(Seguimientos!$F$2:$F$1013=F36)*(Seguimientos!$B$2:$B$1013&gt;B36)*(Seguimientos!$H$2:$H$1013&lt;&gt;""))=0,1,0))</f>
        <v/>
      </c>
      <c r="K36" s="7">
        <f>A36&amp;"|"&amp;B36</f>
        <v/>
      </c>
      <c r="L36" s="13" t="inlineStr">
        <is>
          <t>Esta pendiente seguir realizando la revisión de estas actividades que ahora presenta novedad en la tarea de: Verificar pertinencia de documentos del Proceso.</t>
        </is>
      </c>
    </row>
    <row r="37">
      <c r="A37" s="7" t="inlineStr">
        <is>
          <t>sgc-2022-4-sn1u5ppt</t>
        </is>
      </c>
      <c r="B37" s="7" t="n">
        <v>4</v>
      </c>
      <c r="C37" s="7" t="inlineStr">
        <is>
          <t>SGC</t>
        </is>
      </c>
      <c r="D37" s="7" t="inlineStr">
        <is>
          <t>2022</t>
        </is>
      </c>
      <c r="E37" s="7" t="n">
        <v>4</v>
      </c>
      <c r="F37" s="8" t="n">
        <v>45497</v>
      </c>
      <c r="G37" s="7" t="inlineStr">
        <is>
          <t>DANIEL EDUARDO SOTO BERNAL</t>
        </is>
      </c>
      <c r="H37" s="14" t="n">
        <v>2</v>
      </c>
      <c r="I37" s="15">
        <f>IF(H37="","",H37/2)</f>
        <v/>
      </c>
      <c r="J37" s="7">
        <f>IF(H37="",0,IF(SUMPRODUCT((Seguimientos!$A$2:$A$1013=A37)*(Seguimientos!$F$2:$F$1013=F37)*(Seguimientos!$B$2:$B$1013&gt;B37)*(Seguimientos!$H$2:$H$1013&lt;&gt;""))=0,1,0))</f>
        <v/>
      </c>
      <c r="K37" s="7">
        <f>A37&amp;"|"&amp;B37</f>
        <v/>
      </c>
      <c r="L37" s="13" t="inlineStr">
        <is>
          <t>Se relacionan las actualizaciones documentales del proceso de gestión de Bienes y Servicios, los SAD de la vigencia 2024 con corte a la fecha son los siguientes: 1395 mes de febrero 1419 mes de abril 1434 mes de mayo 1443 mes de junio</t>
        </is>
      </c>
    </row>
    <row r="38">
      <c r="A38" s="7" t="inlineStr">
        <is>
          <t>sgc-2022-4-sn1u5ppt</t>
        </is>
      </c>
      <c r="B38" s="7" t="n">
        <v>5</v>
      </c>
      <c r="C38" s="7" t="inlineStr">
        <is>
          <t>SGC</t>
        </is>
      </c>
      <c r="D38" s="7" t="inlineStr">
        <is>
          <t>2022</t>
        </is>
      </c>
      <c r="E38" s="7" t="n">
        <v>4</v>
      </c>
      <c r="F38" s="8" t="n">
        <v>45583</v>
      </c>
      <c r="G38" s="7" t="inlineStr">
        <is>
          <t>DANIEL EDUARDO SOTO BERNAL</t>
        </is>
      </c>
      <c r="H38" s="14" t="n">
        <v>2</v>
      </c>
      <c r="I38" s="15">
        <f>IF(H38="","",H38/2)</f>
        <v/>
      </c>
      <c r="J38" s="7">
        <f>IF(H38="",0,IF(SUMPRODUCT((Seguimientos!$A$2:$A$1013=A38)*(Seguimientos!$F$2:$F$1013=F38)*(Seguimientos!$B$2:$B$1013&gt;B38)*(Seguimientos!$H$2:$H$1013&lt;&gt;""))=0,1,0))</f>
        <v/>
      </c>
      <c r="K38" s="7">
        <f>A38&amp;"|"&amp;B38</f>
        <v/>
      </c>
      <c r="L38" s="13" t="inlineStr">
        <is>
          <t>ACTIVIDAD COMPLETADA</t>
        </is>
      </c>
    </row>
    <row r="39">
      <c r="A39" s="7" t="inlineStr">
        <is>
          <t>sgc-2022-4-sn1u5ppt</t>
        </is>
      </c>
      <c r="B39" s="7" t="n">
        <v>6</v>
      </c>
      <c r="C39" s="7" t="inlineStr">
        <is>
          <t>SGC</t>
        </is>
      </c>
      <c r="D39" s="7" t="inlineStr">
        <is>
          <t>2022</t>
        </is>
      </c>
      <c r="E39" s="7" t="n">
        <v>4</v>
      </c>
      <c r="F39" s="8" t="n">
        <v>45777</v>
      </c>
      <c r="G39" s="7" t="inlineStr">
        <is>
          <t>DANIEL EDUARDO SOTO BERNAL</t>
        </is>
      </c>
      <c r="H39" s="14" t="n">
        <v>2</v>
      </c>
      <c r="I39" s="15">
        <f>IF(H39="","",H39/2)</f>
        <v/>
      </c>
      <c r="J39" s="7">
        <f>IF(H39="",0,IF(SUMPRODUCT((Seguimientos!$A$2:$A$1013=A39)*(Seguimientos!$F$2:$F$1013=F39)*(Seguimientos!$B$2:$B$1013&gt;B39)*(Seguimientos!$H$2:$H$1013&lt;&gt;""))=0,1,0))</f>
        <v/>
      </c>
      <c r="K39" s="7">
        <f>A39&amp;"|"&amp;B39</f>
        <v/>
      </c>
      <c r="L39" s="13" t="inlineStr">
        <is>
          <t>ACTIVIDAD COMPLETADA</t>
        </is>
      </c>
    </row>
    <row r="40">
      <c r="A40" s="7" t="inlineStr">
        <is>
          <t>sgc-2022-4-sn1u5ppt</t>
        </is>
      </c>
      <c r="B40" s="7" t="n">
        <v>7</v>
      </c>
      <c r="C40" s="7" t="inlineStr">
        <is>
          <t>SGC</t>
        </is>
      </c>
      <c r="D40" s="7" t="inlineStr">
        <is>
          <t>2022</t>
        </is>
      </c>
      <c r="E40" s="7" t="n">
        <v>4</v>
      </c>
      <c r="F40" s="8" t="n">
        <v>45838</v>
      </c>
      <c r="G40" s="7" t="inlineStr">
        <is>
          <t>DANIEL EDUARDO SOTO BERNAL</t>
        </is>
      </c>
      <c r="H40" s="14" t="n">
        <v>2</v>
      </c>
      <c r="I40" s="15">
        <f>IF(H40="","",H40/2)</f>
        <v/>
      </c>
      <c r="J40" s="7">
        <f>IF(H40="",0,IF(SUMPRODUCT((Seguimientos!$A$2:$A$1013=A40)*(Seguimientos!$F$2:$F$1013=F40)*(Seguimientos!$B$2:$B$1013&gt;B40)*(Seguimientos!$H$2:$H$1013&lt;&gt;""))=0,1,0))</f>
        <v/>
      </c>
      <c r="K40" s="7">
        <f>A40&amp;"|"&amp;B40</f>
        <v/>
      </c>
      <c r="L40" s="13" t="inlineStr">
        <is>
          <t>ACTIVIDAD COMPLETADA</t>
        </is>
      </c>
    </row>
    <row r="41">
      <c r="A41" s="7" t="inlineStr">
        <is>
          <t>sgc-2022-4-sn1u5ppt</t>
        </is>
      </c>
      <c r="B41" s="7" t="n">
        <v>8</v>
      </c>
      <c r="C41" s="7" t="inlineStr">
        <is>
          <t>SGC</t>
        </is>
      </c>
      <c r="D41" s="7" t="inlineStr">
        <is>
          <t>2022</t>
        </is>
      </c>
      <c r="E41" s="7" t="n">
        <v>4</v>
      </c>
      <c r="F41" s="8" t="n">
        <v>45930</v>
      </c>
      <c r="G41" s="7" t="inlineStr">
        <is>
          <t>Sin registrar</t>
        </is>
      </c>
      <c r="H41" s="14" t="n">
        <v>2</v>
      </c>
      <c r="I41" s="15">
        <f>IF(H41="","",H41/2)</f>
        <v/>
      </c>
      <c r="J41" s="7">
        <f>IF(H41="",0,IF(SUMPRODUCT((Seguimientos!$A$2:$A$1013=A41)*(Seguimientos!$F$2:$F$1013=F41)*(Seguimientos!$B$2:$B$1013&gt;B41)*(Seguimientos!$H$2:$H$1013&lt;&gt;""))=0,1,0))</f>
        <v/>
      </c>
      <c r="K41" s="7">
        <f>A41&amp;"|"&amp;B41</f>
        <v/>
      </c>
      <c r="L41" s="13" t="inlineStr">
        <is>
          <t>ACTIVIDAD COMPLETADA</t>
        </is>
      </c>
    </row>
    <row r="42">
      <c r="A42" s="7" t="inlineStr">
        <is>
          <t>sgc-2022-5</t>
        </is>
      </c>
      <c r="B42" s="7" t="n">
        <v>1</v>
      </c>
      <c r="C42" s="7" t="inlineStr">
        <is>
          <t>SGC</t>
        </is>
      </c>
      <c r="D42" s="7" t="inlineStr">
        <is>
          <t>2022</t>
        </is>
      </c>
      <c r="E42" s="7" t="n">
        <v>5</v>
      </c>
      <c r="F42" s="8" t="n">
        <v>45133</v>
      </c>
      <c r="G42" s="7" t="inlineStr">
        <is>
          <t>DANIEL EDUARDO SOTO BERNAL</t>
        </is>
      </c>
      <c r="H42" s="14" t="n">
        <v>1</v>
      </c>
      <c r="I42" s="15">
        <f>IF(H42="","",H42/2)</f>
        <v/>
      </c>
      <c r="J42" s="7">
        <f>IF(H42="",0,IF(SUMPRODUCT((Seguimientos!$A$2:$A$1013=A42)*(Seguimientos!$F$2:$F$1013=F42)*(Seguimientos!$B$2:$B$1013&gt;B42)*(Seguimientos!$H$2:$H$1013&lt;&gt;""))=0,1,0))</f>
        <v/>
      </c>
      <c r="K42" s="7">
        <f>A42&amp;"|"&amp;B42</f>
        <v/>
      </c>
      <c r="L42" s="13" t="inlineStr">
        <is>
          <t>En la versión 20 del documento se realizaron los siguientes cambios al respecto: Se incluyen notas en el numeral 10 y notas de sugerencia en el numeral 4 de requisitos y condiciones generales, se actualizan las tablas 4 y 5, adicional se modifica la expresión centros agroambientales por centros de estudios agroambientales y se cambia el termino multiplicación por combinación en las numerales 9 y 10. En su versión 21 se cambio la metodología aumentando la rigurosidad de calificación del riesgo.</t>
        </is>
      </c>
    </row>
    <row r="43">
      <c r="A43" s="7" t="inlineStr">
        <is>
          <t>sgc-2022-5</t>
        </is>
      </c>
      <c r="B43" s="7" t="n">
        <v>2</v>
      </c>
      <c r="C43" s="7" t="inlineStr">
        <is>
          <t>SGC</t>
        </is>
      </c>
      <c r="D43" s="7" t="inlineStr">
        <is>
          <t>2022</t>
        </is>
      </c>
      <c r="E43" s="7" t="n">
        <v>5</v>
      </c>
      <c r="F43" s="8" t="n">
        <v>45245</v>
      </c>
      <c r="G43" s="7" t="inlineStr">
        <is>
          <t>DANIEL EDUARDO SOTO BERNAL</t>
        </is>
      </c>
      <c r="H43" s="14" t="n">
        <v>2</v>
      </c>
      <c r="I43" s="15">
        <f>IF(H43="","",H43/2)</f>
        <v/>
      </c>
      <c r="J43" s="7">
        <f>IF(H43="",0,IF(SUMPRODUCT((Seguimientos!$A$2:$A$1013=A43)*(Seguimientos!$F$2:$F$1013=F43)*(Seguimientos!$B$2:$B$1013&gt;B43)*(Seguimientos!$H$2:$H$1013&lt;&gt;""))=0,1,0))</f>
        <v/>
      </c>
      <c r="K43" s="7">
        <f>A43&amp;"|"&amp;B43</f>
        <v/>
      </c>
      <c r="L43" s="13" t="inlineStr">
        <is>
          <t>En su versión 21 se cambio la metodología aumentando la rigurosidad de calificación del riesgo. Se incluye nota en el numeral 5 de requisitos y condiciones generales; adicional, se incorpora un control en la actividad 5. VIGENCIA: 2023-07-06 GESTIÓN DEL RIESGO Y LAS OPORTUNIDADES</t>
        </is>
      </c>
    </row>
    <row r="44">
      <c r="A44" s="7" t="inlineStr">
        <is>
          <t>sgc-2022-5</t>
        </is>
      </c>
      <c r="B44" s="7" t="n">
        <v>3</v>
      </c>
      <c r="C44" s="7" t="inlineStr">
        <is>
          <t>SGC</t>
        </is>
      </c>
      <c r="D44" s="7" t="inlineStr">
        <is>
          <t>2022</t>
        </is>
      </c>
      <c r="E44" s="7" t="n">
        <v>5</v>
      </c>
      <c r="F44" s="8" t="n">
        <v>45405</v>
      </c>
      <c r="G44" s="7" t="inlineStr">
        <is>
          <t>DANIEL EDUARDO SOTO BERNAL</t>
        </is>
      </c>
      <c r="H44" s="14" t="n">
        <v>2</v>
      </c>
      <c r="I44" s="15">
        <f>IF(H44="","",H44/2)</f>
        <v/>
      </c>
      <c r="J44" s="7">
        <f>IF(H44="",0,IF(SUMPRODUCT((Seguimientos!$A$2:$A$1013=A44)*(Seguimientos!$F$2:$F$1013=F44)*(Seguimientos!$B$2:$B$1013&gt;B44)*(Seguimientos!$H$2:$H$1013&lt;&gt;""))=0,1,0))</f>
        <v/>
      </c>
      <c r="K44" s="7">
        <f>A44&amp;"|"&amp;B44</f>
        <v/>
      </c>
      <c r="L44" s="13" t="inlineStr"/>
    </row>
    <row r="45">
      <c r="A45" s="7" t="inlineStr">
        <is>
          <t>sgc-2022-5</t>
        </is>
      </c>
      <c r="B45" s="7" t="n">
        <v>4</v>
      </c>
      <c r="C45" s="7" t="inlineStr">
        <is>
          <t>SGC</t>
        </is>
      </c>
      <c r="D45" s="7" t="inlineStr">
        <is>
          <t>2022</t>
        </is>
      </c>
      <c r="E45" s="7" t="n">
        <v>5</v>
      </c>
      <c r="F45" s="8" t="n">
        <v>45497</v>
      </c>
      <c r="G45" s="7" t="inlineStr">
        <is>
          <t>DANIEL EDUARDO SOTO BERNAL</t>
        </is>
      </c>
      <c r="H45" s="14" t="n">
        <v>2</v>
      </c>
      <c r="I45" s="15">
        <f>IF(H45="","",H45/2)</f>
        <v/>
      </c>
      <c r="J45" s="7">
        <f>IF(H45="",0,IF(SUMPRODUCT((Seguimientos!$A$2:$A$1013=A45)*(Seguimientos!$F$2:$F$1013=F45)*(Seguimientos!$B$2:$B$1013&gt;B45)*(Seguimientos!$H$2:$H$1013&lt;&gt;""))=0,1,0))</f>
        <v/>
      </c>
      <c r="K45" s="7">
        <f>A45&amp;"|"&amp;B45</f>
        <v/>
      </c>
      <c r="L45" s="13" t="inlineStr"/>
    </row>
    <row r="46">
      <c r="A46" s="7" t="inlineStr">
        <is>
          <t>sgc-2022-5</t>
        </is>
      </c>
      <c r="B46" s="7" t="n">
        <v>5</v>
      </c>
      <c r="C46" s="7" t="inlineStr">
        <is>
          <t>SGC</t>
        </is>
      </c>
      <c r="D46" s="7" t="inlineStr">
        <is>
          <t>2022</t>
        </is>
      </c>
      <c r="E46" s="7" t="n">
        <v>5</v>
      </c>
      <c r="F46" s="8" t="n">
        <v>45583</v>
      </c>
      <c r="G46" s="7" t="inlineStr">
        <is>
          <t>DANIEL EDUARDO SOTO BERNAL</t>
        </is>
      </c>
      <c r="H46" s="14" t="n">
        <v>2</v>
      </c>
      <c r="I46" s="15">
        <f>IF(H46="","",H46/2)</f>
        <v/>
      </c>
      <c r="J46" s="7">
        <f>IF(H46="",0,IF(SUMPRODUCT((Seguimientos!$A$2:$A$1013=A46)*(Seguimientos!$F$2:$F$1013=F46)*(Seguimientos!$B$2:$B$1013&gt;B46)*(Seguimientos!$H$2:$H$1013&lt;&gt;""))=0,1,0))</f>
        <v/>
      </c>
      <c r="K46" s="7">
        <f>A46&amp;"|"&amp;B46</f>
        <v/>
      </c>
      <c r="L46" s="13" t="inlineStr">
        <is>
          <t>ACTIVIDAD COMPLETADA</t>
        </is>
      </c>
    </row>
    <row r="47">
      <c r="A47" s="7" t="inlineStr">
        <is>
          <t>sgc-2022-5</t>
        </is>
      </c>
      <c r="B47" s="7" t="n">
        <v>6</v>
      </c>
      <c r="C47" s="7" t="inlineStr">
        <is>
          <t>SGC</t>
        </is>
      </c>
      <c r="D47" s="7" t="inlineStr">
        <is>
          <t>2022</t>
        </is>
      </c>
      <c r="E47" s="7" t="n">
        <v>5</v>
      </c>
      <c r="F47" s="8" t="n">
        <v>45777</v>
      </c>
      <c r="G47" s="7" t="inlineStr">
        <is>
          <t>DANIEL EDUARDO SOTO BERNAL</t>
        </is>
      </c>
      <c r="H47" s="14" t="n">
        <v>2</v>
      </c>
      <c r="I47" s="15">
        <f>IF(H47="","",H47/2)</f>
        <v/>
      </c>
      <c r="J47" s="7">
        <f>IF(H47="",0,IF(SUMPRODUCT((Seguimientos!$A$2:$A$1013=A47)*(Seguimientos!$F$2:$F$1013=F47)*(Seguimientos!$B$2:$B$1013&gt;B47)*(Seguimientos!$H$2:$H$1013&lt;&gt;""))=0,1,0))</f>
        <v/>
      </c>
      <c r="K47" s="7">
        <f>A47&amp;"|"&amp;B47</f>
        <v/>
      </c>
      <c r="L47" s="13" t="inlineStr">
        <is>
          <t>ACTIVIDAD COMPLETADA</t>
        </is>
      </c>
    </row>
    <row r="48">
      <c r="A48" s="7" t="inlineStr">
        <is>
          <t>sgc-2022-5</t>
        </is>
      </c>
      <c r="B48" s="7" t="n">
        <v>7</v>
      </c>
      <c r="C48" s="7" t="inlineStr">
        <is>
          <t>SGC</t>
        </is>
      </c>
      <c r="D48" s="7" t="inlineStr">
        <is>
          <t>2022</t>
        </is>
      </c>
      <c r="E48" s="7" t="n">
        <v>5</v>
      </c>
      <c r="F48" s="8" t="n">
        <v>45838</v>
      </c>
      <c r="G48" s="7" t="inlineStr">
        <is>
          <t>DANIEL EDUARDO SOTO BERNAL</t>
        </is>
      </c>
      <c r="H48" s="14" t="n">
        <v>2</v>
      </c>
      <c r="I48" s="15">
        <f>IF(H48="","",H48/2)</f>
        <v/>
      </c>
      <c r="J48" s="7">
        <f>IF(H48="",0,IF(SUMPRODUCT((Seguimientos!$A$2:$A$1013=A48)*(Seguimientos!$F$2:$F$1013=F48)*(Seguimientos!$B$2:$B$1013&gt;B48)*(Seguimientos!$H$2:$H$1013&lt;&gt;""))=0,1,0))</f>
        <v/>
      </c>
      <c r="K48" s="7">
        <f>A48&amp;"|"&amp;B48</f>
        <v/>
      </c>
      <c r="L48" s="13" t="inlineStr">
        <is>
          <t>ACTIVIDAD COMPLETADA</t>
        </is>
      </c>
    </row>
    <row r="49">
      <c r="A49" s="7" t="inlineStr">
        <is>
          <t>sgc-2022-5</t>
        </is>
      </c>
      <c r="B49" s="7" t="n">
        <v>8</v>
      </c>
      <c r="C49" s="7" t="inlineStr">
        <is>
          <t>SGC</t>
        </is>
      </c>
      <c r="D49" s="7" t="inlineStr">
        <is>
          <t>2022</t>
        </is>
      </c>
      <c r="E49" s="7" t="n">
        <v>5</v>
      </c>
      <c r="F49" s="8" t="n">
        <v>45930</v>
      </c>
      <c r="G49" s="7" t="inlineStr">
        <is>
          <t>Sin registrar</t>
        </is>
      </c>
      <c r="H49" s="14" t="n">
        <v>2</v>
      </c>
      <c r="I49" s="15">
        <f>IF(H49="","",H49/2)</f>
        <v/>
      </c>
      <c r="J49" s="7">
        <f>IF(H49="",0,IF(SUMPRODUCT((Seguimientos!$A$2:$A$1013=A49)*(Seguimientos!$F$2:$F$1013=F49)*(Seguimientos!$B$2:$B$1013&gt;B49)*(Seguimientos!$H$2:$H$1013&lt;&gt;""))=0,1,0))</f>
        <v/>
      </c>
      <c r="K49" s="7">
        <f>A49&amp;"|"&amp;B49</f>
        <v/>
      </c>
      <c r="L49" s="13" t="inlineStr">
        <is>
          <t>ACTIVIDAD COMPLETADA</t>
        </is>
      </c>
    </row>
    <row r="50">
      <c r="A50" s="7" t="inlineStr">
        <is>
          <t>sgc-2022-6</t>
        </is>
      </c>
      <c r="B50" s="7" t="n">
        <v>1</v>
      </c>
      <c r="C50" s="7" t="inlineStr">
        <is>
          <t>SGC</t>
        </is>
      </c>
      <c r="D50" s="7" t="inlineStr">
        <is>
          <t>2022</t>
        </is>
      </c>
      <c r="E50" s="7" t="n">
        <v>6</v>
      </c>
      <c r="F50" s="8" t="n">
        <v>45133</v>
      </c>
      <c r="G50" s="7" t="inlineStr">
        <is>
          <t>DANIEL EDUARDO SOTO BERNAL</t>
        </is>
      </c>
      <c r="H50" s="14" t="n">
        <v>1</v>
      </c>
      <c r="I50" s="15">
        <f>IF(H50="","",H50/2)</f>
        <v/>
      </c>
      <c r="J50" s="7">
        <f>IF(H50="",0,IF(SUMPRODUCT((Seguimientos!$A$2:$A$1013=A50)*(Seguimientos!$F$2:$F$1013=F50)*(Seguimientos!$B$2:$B$1013&gt;B50)*(Seguimientos!$H$2:$H$1013&lt;&gt;""))=0,1,0))</f>
        <v/>
      </c>
      <c r="K50" s="7">
        <f>A50&amp;"|"&amp;B50</f>
        <v/>
      </c>
      <c r="L50" s="13" t="inlineStr">
        <is>
          <t>La Dirección de Control Interno remitió la relación de los temas críticos identificados como hallazgos recurrentes, desde el Sistema de Gestión de la Calidad se realizo la distribución de los temas a tratar al respecto; actualmente la oficina se encuentra en proceso de actualización de los criterios para dar respuesta a su solicitud.</t>
        </is>
      </c>
    </row>
    <row r="51">
      <c r="A51" s="7" t="inlineStr">
        <is>
          <t>sgc-2022-6</t>
        </is>
      </c>
      <c r="B51" s="7" t="n">
        <v>2</v>
      </c>
      <c r="C51" s="7" t="inlineStr">
        <is>
          <t>SGC</t>
        </is>
      </c>
      <c r="D51" s="7" t="inlineStr">
        <is>
          <t>2022</t>
        </is>
      </c>
      <c r="E51" s="7" t="n">
        <v>6</v>
      </c>
      <c r="F51" s="8" t="n">
        <v>45245</v>
      </c>
      <c r="G51" s="7" t="inlineStr">
        <is>
          <t>DANIEL EDUARDO SOTO BERNAL</t>
        </is>
      </c>
      <c r="H51" s="14" t="n">
        <v>2</v>
      </c>
      <c r="I51" s="15">
        <f>IF(H51="","",H51/2)</f>
        <v/>
      </c>
      <c r="J51" s="7">
        <f>IF(H51="",0,IF(SUMPRODUCT((Seguimientos!$A$2:$A$1013=A51)*(Seguimientos!$F$2:$F$1013=F51)*(Seguimientos!$B$2:$B$1013&gt;B51)*(Seguimientos!$H$2:$H$1013&lt;&gt;""))=0,1,0))</f>
        <v/>
      </c>
      <c r="K51" s="7">
        <f>A51&amp;"|"&amp;B51</f>
        <v/>
      </c>
      <c r="L51" s="13" t="inlineStr">
        <is>
          <t>La oficina de Sistema de Gestión de Calidad SGC mediante su gestora Alejandra Panqueva recopila y analiza la información suministrada por la Dirección de Control Interno determinado los controles a las acciones reiterativas en los procesos, si ya se actualizaron, si se deben actualizar y que controles se den aplicar para mitigar estos impactos reiterativos. Se adjunta archivo de Excel.</t>
        </is>
      </c>
    </row>
    <row r="52">
      <c r="A52" s="7" t="inlineStr">
        <is>
          <t>sgc-2022-6</t>
        </is>
      </c>
      <c r="B52" s="7" t="n">
        <v>3</v>
      </c>
      <c r="C52" s="7" t="inlineStr">
        <is>
          <t>SGC</t>
        </is>
      </c>
      <c r="D52" s="7" t="inlineStr">
        <is>
          <t>2022</t>
        </is>
      </c>
      <c r="E52" s="7" t="n">
        <v>6</v>
      </c>
      <c r="F52" s="8" t="n">
        <v>45405</v>
      </c>
      <c r="G52" s="7" t="inlineStr">
        <is>
          <t>DANIEL EDUARDO SOTO BERNAL</t>
        </is>
      </c>
      <c r="H52" s="14" t="n">
        <v>2</v>
      </c>
      <c r="I52" s="15">
        <f>IF(H52="","",H52/2)</f>
        <v/>
      </c>
      <c r="J52" s="7">
        <f>IF(H52="",0,IF(SUMPRODUCT((Seguimientos!$A$2:$A$1013=A52)*(Seguimientos!$F$2:$F$1013=F52)*(Seguimientos!$B$2:$B$1013&gt;B52)*(Seguimientos!$H$2:$H$1013&lt;&gt;""))=0,1,0))</f>
        <v/>
      </c>
      <c r="K52" s="7">
        <f>A52&amp;"|"&amp;B52</f>
        <v/>
      </c>
      <c r="L52" s="13" t="inlineStr"/>
    </row>
    <row r="53">
      <c r="A53" s="7" t="inlineStr">
        <is>
          <t>sgc-2022-6</t>
        </is>
      </c>
      <c r="B53" s="7" t="n">
        <v>4</v>
      </c>
      <c r="C53" s="7" t="inlineStr">
        <is>
          <t>SGC</t>
        </is>
      </c>
      <c r="D53" s="7" t="inlineStr">
        <is>
          <t>2022</t>
        </is>
      </c>
      <c r="E53" s="7" t="n">
        <v>6</v>
      </c>
      <c r="F53" s="8" t="n">
        <v>45497</v>
      </c>
      <c r="G53" s="7" t="inlineStr">
        <is>
          <t>DANIEL EDUARDO SOTO BERNAL</t>
        </is>
      </c>
      <c r="H53" s="14" t="n">
        <v>2</v>
      </c>
      <c r="I53" s="15">
        <f>IF(H53="","",H53/2)</f>
        <v/>
      </c>
      <c r="J53" s="7">
        <f>IF(H53="",0,IF(SUMPRODUCT((Seguimientos!$A$2:$A$1013=A53)*(Seguimientos!$F$2:$F$1013=F53)*(Seguimientos!$B$2:$B$1013&gt;B53)*(Seguimientos!$H$2:$H$1013&lt;&gt;""))=0,1,0))</f>
        <v/>
      </c>
      <c r="K53" s="7">
        <f>A53&amp;"|"&amp;B53</f>
        <v/>
      </c>
      <c r="L53" s="13" t="inlineStr"/>
    </row>
    <row r="54">
      <c r="A54" s="7" t="inlineStr">
        <is>
          <t>sgc-2022-6</t>
        </is>
      </c>
      <c r="B54" s="7" t="n">
        <v>5</v>
      </c>
      <c r="C54" s="7" t="inlineStr">
        <is>
          <t>SGC</t>
        </is>
      </c>
      <c r="D54" s="7" t="inlineStr">
        <is>
          <t>2022</t>
        </is>
      </c>
      <c r="E54" s="7" t="n">
        <v>6</v>
      </c>
      <c r="F54" s="8" t="n">
        <v>45583</v>
      </c>
      <c r="G54" s="7" t="inlineStr">
        <is>
          <t>DANIEL EDUARDO SOTO BERNAL</t>
        </is>
      </c>
      <c r="H54" s="14" t="n">
        <v>2</v>
      </c>
      <c r="I54" s="15">
        <f>IF(H54="","",H54/2)</f>
        <v/>
      </c>
      <c r="J54" s="7">
        <f>IF(H54="",0,IF(SUMPRODUCT((Seguimientos!$A$2:$A$1013=A54)*(Seguimientos!$F$2:$F$1013=F54)*(Seguimientos!$B$2:$B$1013&gt;B54)*(Seguimientos!$H$2:$H$1013&lt;&gt;""))=0,1,0))</f>
        <v/>
      </c>
      <c r="K54" s="7">
        <f>A54&amp;"|"&amp;B54</f>
        <v/>
      </c>
      <c r="L54" s="13" t="inlineStr">
        <is>
          <t>ACTIVIDAD COMPLETADA</t>
        </is>
      </c>
    </row>
    <row r="55">
      <c r="A55" s="7" t="inlineStr">
        <is>
          <t>sgc-2022-6</t>
        </is>
      </c>
      <c r="B55" s="7" t="n">
        <v>6</v>
      </c>
      <c r="C55" s="7" t="inlineStr">
        <is>
          <t>SGC</t>
        </is>
      </c>
      <c r="D55" s="7" t="inlineStr">
        <is>
          <t>2022</t>
        </is>
      </c>
      <c r="E55" s="7" t="n">
        <v>6</v>
      </c>
      <c r="F55" s="8" t="n">
        <v>45777</v>
      </c>
      <c r="G55" s="7" t="inlineStr">
        <is>
          <t>DANIEL EDUARDO SOTO BERNAL</t>
        </is>
      </c>
      <c r="H55" s="14" t="n">
        <v>2</v>
      </c>
      <c r="I55" s="15">
        <f>IF(H55="","",H55/2)</f>
        <v/>
      </c>
      <c r="J55" s="7">
        <f>IF(H55="",0,IF(SUMPRODUCT((Seguimientos!$A$2:$A$1013=A55)*(Seguimientos!$F$2:$F$1013=F55)*(Seguimientos!$B$2:$B$1013&gt;B55)*(Seguimientos!$H$2:$H$1013&lt;&gt;""))=0,1,0))</f>
        <v/>
      </c>
      <c r="K55" s="7">
        <f>A55&amp;"|"&amp;B55</f>
        <v/>
      </c>
      <c r="L55" s="13" t="inlineStr">
        <is>
          <t>ACTIVIDAD COMPLETADA</t>
        </is>
      </c>
    </row>
    <row r="56">
      <c r="A56" s="7" t="inlineStr">
        <is>
          <t>sgc-2022-6</t>
        </is>
      </c>
      <c r="B56" s="7" t="n">
        <v>7</v>
      </c>
      <c r="C56" s="7" t="inlineStr">
        <is>
          <t>SGC</t>
        </is>
      </c>
      <c r="D56" s="7" t="inlineStr">
        <is>
          <t>2022</t>
        </is>
      </c>
      <c r="E56" s="7" t="n">
        <v>6</v>
      </c>
      <c r="F56" s="8" t="n">
        <v>45838</v>
      </c>
      <c r="G56" s="7" t="inlineStr">
        <is>
          <t>DANIEL EDUARDO SOTO BERNAL</t>
        </is>
      </c>
      <c r="H56" s="14" t="n">
        <v>2</v>
      </c>
      <c r="I56" s="15">
        <f>IF(H56="","",H56/2)</f>
        <v/>
      </c>
      <c r="J56" s="7">
        <f>IF(H56="",0,IF(SUMPRODUCT((Seguimientos!$A$2:$A$1013=A56)*(Seguimientos!$F$2:$F$1013=F56)*(Seguimientos!$B$2:$B$1013&gt;B56)*(Seguimientos!$H$2:$H$1013&lt;&gt;""))=0,1,0))</f>
        <v/>
      </c>
      <c r="K56" s="7">
        <f>A56&amp;"|"&amp;B56</f>
        <v/>
      </c>
      <c r="L56" s="13" t="inlineStr">
        <is>
          <t>ACTIVIDAD COMPLETADA</t>
        </is>
      </c>
    </row>
    <row r="57">
      <c r="A57" s="7" t="inlineStr">
        <is>
          <t>sgc-2022-6</t>
        </is>
      </c>
      <c r="B57" s="7" t="n">
        <v>8</v>
      </c>
      <c r="C57" s="7" t="inlineStr">
        <is>
          <t>SGC</t>
        </is>
      </c>
      <c r="D57" s="7" t="inlineStr">
        <is>
          <t>2022</t>
        </is>
      </c>
      <c r="E57" s="7" t="n">
        <v>6</v>
      </c>
      <c r="F57" s="8" t="n">
        <v>45930</v>
      </c>
      <c r="G57" s="7" t="inlineStr">
        <is>
          <t>Sin registrar</t>
        </is>
      </c>
      <c r="H57" s="14" t="n">
        <v>2</v>
      </c>
      <c r="I57" s="15">
        <f>IF(H57="","",H57/2)</f>
        <v/>
      </c>
      <c r="J57" s="7">
        <f>IF(H57="",0,IF(SUMPRODUCT((Seguimientos!$A$2:$A$1013=A57)*(Seguimientos!$F$2:$F$1013=F57)*(Seguimientos!$B$2:$B$1013&gt;B57)*(Seguimientos!$H$2:$H$1013&lt;&gt;""))=0,1,0))</f>
        <v/>
      </c>
      <c r="K57" s="7">
        <f>A57&amp;"|"&amp;B57</f>
        <v/>
      </c>
      <c r="L57" s="13" t="inlineStr">
        <is>
          <t>ACTIVIDAD COMPLETADA</t>
        </is>
      </c>
    </row>
    <row r="58">
      <c r="A58" s="7" t="inlineStr">
        <is>
          <t>sgc-2022-7</t>
        </is>
      </c>
      <c r="B58" s="7" t="n">
        <v>1</v>
      </c>
      <c r="C58" s="7" t="inlineStr">
        <is>
          <t>SGC</t>
        </is>
      </c>
      <c r="D58" s="7" t="inlineStr">
        <is>
          <t>2022</t>
        </is>
      </c>
      <c r="E58" s="7" t="n">
        <v>7</v>
      </c>
      <c r="F58" s="8" t="n">
        <v>45133</v>
      </c>
      <c r="G58" s="7" t="inlineStr">
        <is>
          <t>DANIEL EDUARDO SOTO BERNAL</t>
        </is>
      </c>
      <c r="H58" s="14" t="n">
        <v>0</v>
      </c>
      <c r="I58" s="15">
        <f>IF(H58="","",H58/2)</f>
        <v/>
      </c>
      <c r="J58" s="7">
        <f>IF(H58="",0,IF(SUMPRODUCT((Seguimientos!$A$2:$A$1013=A58)*(Seguimientos!$F$2:$F$1013=F58)*(Seguimientos!$B$2:$B$1013&gt;B58)*(Seguimientos!$H$2:$H$1013&lt;&gt;""))=0,1,0))</f>
        <v/>
      </c>
      <c r="K58" s="7">
        <f>A58&amp;"|"&amp;B58</f>
        <v/>
      </c>
      <c r="L58" s="13" t="inlineStr">
        <is>
          <t>La Dirección de Control Interno remitió la relación de los temas críticos identificados como hallazgos recurrentes, desde el Sistema de Gestión de la Calidad se realizo la distribución de los temas a tratar al respecto; actualmente la oficina se encuentra en proceso de actualización de los criterios para dar respuesta a su solicitud.</t>
        </is>
      </c>
    </row>
    <row r="59">
      <c r="A59" s="7" t="inlineStr">
        <is>
          <t>sgc-2022-7</t>
        </is>
      </c>
      <c r="B59" s="7" t="n">
        <v>2</v>
      </c>
      <c r="C59" s="7" t="inlineStr">
        <is>
          <t>SGC</t>
        </is>
      </c>
      <c r="D59" s="7" t="inlineStr">
        <is>
          <t>2022</t>
        </is>
      </c>
      <c r="E59" s="7" t="n">
        <v>7</v>
      </c>
      <c r="F59" s="8" t="n">
        <v>45245</v>
      </c>
      <c r="G59" s="7" t="inlineStr">
        <is>
          <t>DANIEL EDUARDO SOTO BERNAL</t>
        </is>
      </c>
      <c r="H59" s="14" t="n">
        <v>1</v>
      </c>
      <c r="I59" s="15">
        <f>IF(H59="","",H59/2)</f>
        <v/>
      </c>
      <c r="J59" s="7">
        <f>IF(H59="",0,IF(SUMPRODUCT((Seguimientos!$A$2:$A$1013=A59)*(Seguimientos!$F$2:$F$1013=F59)*(Seguimientos!$B$2:$B$1013&gt;B59)*(Seguimientos!$H$2:$H$1013&lt;&gt;""))=0,1,0))</f>
        <v/>
      </c>
      <c r="K59" s="7">
        <f>A59&amp;"|"&amp;B59</f>
        <v/>
      </c>
      <c r="L59" s="13" t="inlineStr">
        <is>
          <t>Conforme a la actividad anterior N° 6, se ajustaran los controles en los procedimientos donde se encuentran sitiados estos hallazgos de No Conformidades de forma recurrente, trabajados desde el archivo producido por la Dirección de Control Interno y analizados por el Sistema de Gestión de la Calidad SGC.</t>
        </is>
      </c>
    </row>
    <row r="60">
      <c r="A60" s="7" t="inlineStr">
        <is>
          <t>sgc-2022-7</t>
        </is>
      </c>
      <c r="B60" s="7" t="n">
        <v>3</v>
      </c>
      <c r="C60" s="7" t="inlineStr">
        <is>
          <t>SGC</t>
        </is>
      </c>
      <c r="D60" s="7" t="inlineStr">
        <is>
          <t>2022</t>
        </is>
      </c>
      <c r="E60" s="7" t="n">
        <v>7</v>
      </c>
      <c r="F60" s="8" t="n">
        <v>45405</v>
      </c>
      <c r="G60" s="7" t="inlineStr">
        <is>
          <t>DANIEL EDUARDO SOTO BERNAL</t>
        </is>
      </c>
      <c r="H60" s="14" t="n">
        <v>2</v>
      </c>
      <c r="I60" s="15">
        <f>IF(H60="","",H60/2)</f>
        <v/>
      </c>
      <c r="J60" s="7">
        <f>IF(H60="",0,IF(SUMPRODUCT((Seguimientos!$A$2:$A$1013=A60)*(Seguimientos!$F$2:$F$1013=F60)*(Seguimientos!$B$2:$B$1013&gt;B60)*(Seguimientos!$H$2:$H$1013&lt;&gt;""))=0,1,0))</f>
        <v/>
      </c>
      <c r="K60" s="7">
        <f>A60&amp;"|"&amp;B60</f>
        <v/>
      </c>
      <c r="L60" s="13" t="inlineStr">
        <is>
          <t>Se adjunta evidencia "CRONOGRAMA RUTA CRITICA DE ACTUALIZACIÓN DOCUMENTAL" para los procesos: Formación y Aprendizaje Admisiones y Registro Dirección Financiera</t>
        </is>
      </c>
    </row>
    <row r="61">
      <c r="A61" s="7" t="inlineStr">
        <is>
          <t>sgc-2022-7</t>
        </is>
      </c>
      <c r="B61" s="7" t="n">
        <v>4</v>
      </c>
      <c r="C61" s="7" t="inlineStr">
        <is>
          <t>SGC</t>
        </is>
      </c>
      <c r="D61" s="7" t="inlineStr">
        <is>
          <t>2022</t>
        </is>
      </c>
      <c r="E61" s="7" t="n">
        <v>7</v>
      </c>
      <c r="F61" s="8" t="n">
        <v>45497</v>
      </c>
      <c r="G61" s="7" t="inlineStr">
        <is>
          <t>DANIEL EDUARDO SOTO BERNAL</t>
        </is>
      </c>
      <c r="H61" s="14" t="n">
        <v>2</v>
      </c>
      <c r="I61" s="15">
        <f>IF(H61="","",H61/2)</f>
        <v/>
      </c>
      <c r="J61" s="7">
        <f>IF(H61="",0,IF(SUMPRODUCT((Seguimientos!$A$2:$A$1013=A61)*(Seguimientos!$F$2:$F$1013=F61)*(Seguimientos!$B$2:$B$1013&gt;B61)*(Seguimientos!$H$2:$H$1013&lt;&gt;""))=0,1,0))</f>
        <v/>
      </c>
      <c r="K61" s="7">
        <f>A61&amp;"|"&amp;B61</f>
        <v/>
      </c>
      <c r="L61" s="13" t="inlineStr"/>
    </row>
    <row r="62">
      <c r="A62" s="7" t="inlineStr">
        <is>
          <t>sgc-2022-7</t>
        </is>
      </c>
      <c r="B62" s="7" t="n">
        <v>5</v>
      </c>
      <c r="C62" s="7" t="inlineStr">
        <is>
          <t>SGC</t>
        </is>
      </c>
      <c r="D62" s="7" t="inlineStr">
        <is>
          <t>2022</t>
        </is>
      </c>
      <c r="E62" s="7" t="n">
        <v>7</v>
      </c>
      <c r="F62" s="8" t="n">
        <v>45583</v>
      </c>
      <c r="G62" s="7" t="inlineStr">
        <is>
          <t>DANIEL EDUARDO SOTO BERNAL</t>
        </is>
      </c>
      <c r="H62" s="14" t="n">
        <v>2</v>
      </c>
      <c r="I62" s="15">
        <f>IF(H62="","",H62/2)</f>
        <v/>
      </c>
      <c r="J62" s="7">
        <f>IF(H62="",0,IF(SUMPRODUCT((Seguimientos!$A$2:$A$1013=A62)*(Seguimientos!$F$2:$F$1013=F62)*(Seguimientos!$B$2:$B$1013&gt;B62)*(Seguimientos!$H$2:$H$1013&lt;&gt;""))=0,1,0))</f>
        <v/>
      </c>
      <c r="K62" s="7">
        <f>A62&amp;"|"&amp;B62</f>
        <v/>
      </c>
      <c r="L62" s="13" t="inlineStr">
        <is>
          <t>ACTIVIDAD COMPLETADA</t>
        </is>
      </c>
    </row>
    <row r="63">
      <c r="A63" s="7" t="inlineStr">
        <is>
          <t>sgc-2022-7</t>
        </is>
      </c>
      <c r="B63" s="7" t="n">
        <v>6</v>
      </c>
      <c r="C63" s="7" t="inlineStr">
        <is>
          <t>SGC</t>
        </is>
      </c>
      <c r="D63" s="7" t="inlineStr">
        <is>
          <t>2022</t>
        </is>
      </c>
      <c r="E63" s="7" t="n">
        <v>7</v>
      </c>
      <c r="F63" s="8" t="n">
        <v>45777</v>
      </c>
      <c r="G63" s="7" t="inlineStr">
        <is>
          <t>DANIEL EDUARDO SOTO BERNAL</t>
        </is>
      </c>
      <c r="H63" s="14" t="n">
        <v>2</v>
      </c>
      <c r="I63" s="15">
        <f>IF(H63="","",H63/2)</f>
        <v/>
      </c>
      <c r="J63" s="7">
        <f>IF(H63="",0,IF(SUMPRODUCT((Seguimientos!$A$2:$A$1013=A63)*(Seguimientos!$F$2:$F$1013=F63)*(Seguimientos!$B$2:$B$1013&gt;B63)*(Seguimientos!$H$2:$H$1013&lt;&gt;""))=0,1,0))</f>
        <v/>
      </c>
      <c r="K63" s="7">
        <f>A63&amp;"|"&amp;B63</f>
        <v/>
      </c>
      <c r="L63" s="13" t="inlineStr">
        <is>
          <t>ACTIVIDAD COMPLETADA</t>
        </is>
      </c>
    </row>
    <row r="64">
      <c r="A64" s="7" t="inlineStr">
        <is>
          <t>sgc-2022-7</t>
        </is>
      </c>
      <c r="B64" s="7" t="n">
        <v>7</v>
      </c>
      <c r="C64" s="7" t="inlineStr">
        <is>
          <t>SGC</t>
        </is>
      </c>
      <c r="D64" s="7" t="inlineStr">
        <is>
          <t>2022</t>
        </is>
      </c>
      <c r="E64" s="7" t="n">
        <v>7</v>
      </c>
      <c r="F64" s="8" t="n">
        <v>45838</v>
      </c>
      <c r="G64" s="7" t="inlineStr">
        <is>
          <t>DANIEL EDUARDO SOTO BERNAL</t>
        </is>
      </c>
      <c r="H64" s="14" t="n">
        <v>2</v>
      </c>
      <c r="I64" s="15">
        <f>IF(H64="","",H64/2)</f>
        <v/>
      </c>
      <c r="J64" s="7">
        <f>IF(H64="",0,IF(SUMPRODUCT((Seguimientos!$A$2:$A$1013=A64)*(Seguimientos!$F$2:$F$1013=F64)*(Seguimientos!$B$2:$B$1013&gt;B64)*(Seguimientos!$H$2:$H$1013&lt;&gt;""))=0,1,0))</f>
        <v/>
      </c>
      <c r="K64" s="7">
        <f>A64&amp;"|"&amp;B64</f>
        <v/>
      </c>
      <c r="L64" s="13" t="inlineStr">
        <is>
          <t>ACTIVIDAD COMPLETADA</t>
        </is>
      </c>
    </row>
    <row r="65">
      <c r="A65" s="7" t="inlineStr">
        <is>
          <t>sgc-2022-7</t>
        </is>
      </c>
      <c r="B65" s="7" t="n">
        <v>8</v>
      </c>
      <c r="C65" s="7" t="inlineStr">
        <is>
          <t>SGC</t>
        </is>
      </c>
      <c r="D65" s="7" t="inlineStr">
        <is>
          <t>2022</t>
        </is>
      </c>
      <c r="E65" s="7" t="n">
        <v>7</v>
      </c>
      <c r="F65" s="8" t="n">
        <v>45930</v>
      </c>
      <c r="G65" s="7" t="inlineStr">
        <is>
          <t>Sin registrar</t>
        </is>
      </c>
      <c r="H65" s="14" t="n">
        <v>2</v>
      </c>
      <c r="I65" s="15">
        <f>IF(H65="","",H65/2)</f>
        <v/>
      </c>
      <c r="J65" s="7">
        <f>IF(H65="",0,IF(SUMPRODUCT((Seguimientos!$A$2:$A$1013=A65)*(Seguimientos!$F$2:$F$1013=F65)*(Seguimientos!$B$2:$B$1013&gt;B65)*(Seguimientos!$H$2:$H$1013&lt;&gt;""))=0,1,0))</f>
        <v/>
      </c>
      <c r="K65" s="7">
        <f>A65&amp;"|"&amp;B65</f>
        <v/>
      </c>
      <c r="L65" s="13" t="inlineStr">
        <is>
          <t>ACTIVIDAD COMPLETADA</t>
        </is>
      </c>
    </row>
    <row r="66">
      <c r="A66" s="7" t="inlineStr">
        <is>
          <t>sgc-2023-1</t>
        </is>
      </c>
      <c r="B66" s="7" t="n">
        <v>1</v>
      </c>
      <c r="C66" s="7" t="inlineStr">
        <is>
          <t>SGC</t>
        </is>
      </c>
      <c r="D66" s="7" t="inlineStr">
        <is>
          <t>2023</t>
        </is>
      </c>
      <c r="E66" s="7" t="n">
        <v>1</v>
      </c>
      <c r="F66" s="8" t="n">
        <v>45405</v>
      </c>
      <c r="G66" s="7" t="inlineStr">
        <is>
          <t>DANIEL EDUARDO SOTO BERNAL</t>
        </is>
      </c>
      <c r="H66" s="14" t="n">
        <v>2</v>
      </c>
      <c r="I66" s="15">
        <f>IF(H66="","",H66/2)</f>
        <v/>
      </c>
      <c r="J66" s="7">
        <f>IF(H66="",0,IF(SUMPRODUCT((Seguimientos!$A$2:$A$1013=A66)*(Seguimientos!$F$2:$F$1013=F66)*(Seguimientos!$B$2:$B$1013&gt;B66)*(Seguimientos!$H$2:$H$1013&lt;&gt;""))=0,1,0))</f>
        <v/>
      </c>
      <c r="K66" s="7">
        <f>A66&amp;"|"&amp;B66</f>
        <v/>
      </c>
      <c r="L66" s="13" t="inlineStr">
        <is>
          <t>Se realiza seguimiento a las tareas pendientes de Oportunidad de Mejora de Revisión por la Dirección dentro de la actividad Tablero de Control. Actividad finalizada.</t>
        </is>
      </c>
    </row>
    <row r="67">
      <c r="A67" s="7" t="inlineStr">
        <is>
          <t>sgc-2023-1</t>
        </is>
      </c>
      <c r="B67" s="7" t="n">
        <v>2</v>
      </c>
      <c r="C67" s="7" t="inlineStr">
        <is>
          <t>SGC</t>
        </is>
      </c>
      <c r="D67" s="7" t="inlineStr">
        <is>
          <t>2023</t>
        </is>
      </c>
      <c r="E67" s="7" t="n">
        <v>1</v>
      </c>
      <c r="F67" s="8" t="n">
        <v>45497</v>
      </c>
      <c r="G67" s="7" t="inlineStr">
        <is>
          <t>DANIEL EDUARDO SOTO BERNAL</t>
        </is>
      </c>
      <c r="H67" s="14" t="n">
        <v>2</v>
      </c>
      <c r="I67" s="15">
        <f>IF(H67="","",H67/2)</f>
        <v/>
      </c>
      <c r="J67" s="7">
        <f>IF(H67="",0,IF(SUMPRODUCT((Seguimientos!$A$2:$A$1013=A67)*(Seguimientos!$F$2:$F$1013=F67)*(Seguimientos!$B$2:$B$1013&gt;B67)*(Seguimientos!$H$2:$H$1013&lt;&gt;""))=0,1,0))</f>
        <v/>
      </c>
      <c r="K67" s="7">
        <f>A67&amp;"|"&amp;B67</f>
        <v/>
      </c>
      <c r="L67" s="13" t="inlineStr">
        <is>
          <t>ACTIVIDAD COMPLETADA</t>
        </is>
      </c>
    </row>
    <row r="68">
      <c r="A68" s="7" t="inlineStr">
        <is>
          <t>sgc-2023-1</t>
        </is>
      </c>
      <c r="B68" s="7" t="n">
        <v>3</v>
      </c>
      <c r="C68" s="7" t="inlineStr">
        <is>
          <t>SGC</t>
        </is>
      </c>
      <c r="D68" s="7" t="inlineStr">
        <is>
          <t>2023</t>
        </is>
      </c>
      <c r="E68" s="7" t="n">
        <v>1</v>
      </c>
      <c r="F68" s="8" t="n">
        <v>45583</v>
      </c>
      <c r="G68" s="7" t="inlineStr">
        <is>
          <t>DANIEL EDUARDO SOTO BERNAL</t>
        </is>
      </c>
      <c r="H68" s="14" t="n">
        <v>2</v>
      </c>
      <c r="I68" s="15">
        <f>IF(H68="","",H68/2)</f>
        <v/>
      </c>
      <c r="J68" s="7">
        <f>IF(H68="",0,IF(SUMPRODUCT((Seguimientos!$A$2:$A$1013=A68)*(Seguimientos!$F$2:$F$1013=F68)*(Seguimientos!$B$2:$B$1013&gt;B68)*(Seguimientos!$H$2:$H$1013&lt;&gt;""))=0,1,0))</f>
        <v/>
      </c>
      <c r="K68" s="7">
        <f>A68&amp;"|"&amp;B68</f>
        <v/>
      </c>
      <c r="L68" s="13" t="inlineStr">
        <is>
          <t>ACTIVIDAD COMPLETADA</t>
        </is>
      </c>
    </row>
    <row r="69">
      <c r="A69" s="7" t="inlineStr">
        <is>
          <t>sgc-2023-1</t>
        </is>
      </c>
      <c r="B69" s="7" t="n">
        <v>4</v>
      </c>
      <c r="C69" s="7" t="inlineStr">
        <is>
          <t>SGC</t>
        </is>
      </c>
      <c r="D69" s="7" t="inlineStr">
        <is>
          <t>2023</t>
        </is>
      </c>
      <c r="E69" s="7" t="n">
        <v>1</v>
      </c>
      <c r="F69" s="8" t="n">
        <v>45777</v>
      </c>
      <c r="G69" s="7" t="inlineStr">
        <is>
          <t>DANIEL EDUARDO SOTO BERNAL</t>
        </is>
      </c>
      <c r="H69" s="14" t="n">
        <v>2</v>
      </c>
      <c r="I69" s="15">
        <f>IF(H69="","",H69/2)</f>
        <v/>
      </c>
      <c r="J69" s="7">
        <f>IF(H69="",0,IF(SUMPRODUCT((Seguimientos!$A$2:$A$1013=A69)*(Seguimientos!$F$2:$F$1013=F69)*(Seguimientos!$B$2:$B$1013&gt;B69)*(Seguimientos!$H$2:$H$1013&lt;&gt;""))=0,1,0))</f>
        <v/>
      </c>
      <c r="K69" s="7">
        <f>A69&amp;"|"&amp;B69</f>
        <v/>
      </c>
      <c r="L69" s="13" t="inlineStr">
        <is>
          <t>ACTIVIDAD COMPLETADA</t>
        </is>
      </c>
    </row>
    <row r="70">
      <c r="A70" s="7" t="inlineStr">
        <is>
          <t>sgc-2023-1</t>
        </is>
      </c>
      <c r="B70" s="7" t="n">
        <v>5</v>
      </c>
      <c r="C70" s="7" t="inlineStr">
        <is>
          <t>SGC</t>
        </is>
      </c>
      <c r="D70" s="7" t="inlineStr">
        <is>
          <t>2023</t>
        </is>
      </c>
      <c r="E70" s="7" t="n">
        <v>1</v>
      </c>
      <c r="F70" s="8" t="n">
        <v>45838</v>
      </c>
      <c r="G70" s="7" t="inlineStr">
        <is>
          <t>DANIEL EDUARDO SOTO BERNAL</t>
        </is>
      </c>
      <c r="H70" s="14" t="n">
        <v>2</v>
      </c>
      <c r="I70" s="15">
        <f>IF(H70="","",H70/2)</f>
        <v/>
      </c>
      <c r="J70" s="7">
        <f>IF(H70="",0,IF(SUMPRODUCT((Seguimientos!$A$2:$A$1013=A70)*(Seguimientos!$F$2:$F$1013=F70)*(Seguimientos!$B$2:$B$1013&gt;B70)*(Seguimientos!$H$2:$H$1013&lt;&gt;""))=0,1,0))</f>
        <v/>
      </c>
      <c r="K70" s="7">
        <f>A70&amp;"|"&amp;B70</f>
        <v/>
      </c>
      <c r="L70" s="13" t="inlineStr">
        <is>
          <t>ACTIVIDAD COMPLETADA</t>
        </is>
      </c>
    </row>
    <row r="71">
      <c r="A71" s="7" t="inlineStr">
        <is>
          <t>sgc-2023-1</t>
        </is>
      </c>
      <c r="B71" s="7" t="n">
        <v>6</v>
      </c>
      <c r="C71" s="7" t="inlineStr">
        <is>
          <t>SGC</t>
        </is>
      </c>
      <c r="D71" s="7" t="inlineStr">
        <is>
          <t>2023</t>
        </is>
      </c>
      <c r="E71" s="7" t="n">
        <v>1</v>
      </c>
      <c r="F71" s="8" t="n">
        <v>45930</v>
      </c>
      <c r="G71" s="7" t="inlineStr">
        <is>
          <t>JOAN IMAYINNE GALVIS MORENO</t>
        </is>
      </c>
      <c r="H71" s="14" t="n">
        <v>2</v>
      </c>
      <c r="I71" s="15">
        <f>IF(H71="","",H71/2)</f>
        <v/>
      </c>
      <c r="J71" s="7">
        <f>IF(H71="",0,IF(SUMPRODUCT((Seguimientos!$A$2:$A$1013=A71)*(Seguimientos!$F$2:$F$1013=F71)*(Seguimientos!$B$2:$B$1013&gt;B71)*(Seguimientos!$H$2:$H$1013&lt;&gt;""))=0,1,0))</f>
        <v/>
      </c>
      <c r="K71" s="7">
        <f>A71&amp;"|"&amp;B71</f>
        <v/>
      </c>
      <c r="L71" s="13" t="inlineStr">
        <is>
          <t>ACTIVIDAD COMPLETADA</t>
        </is>
      </c>
    </row>
    <row r="72">
      <c r="A72" s="7" t="inlineStr">
        <is>
          <t>sgc-2023-1</t>
        </is>
      </c>
      <c r="B72" s="7" t="n">
        <v>7</v>
      </c>
      <c r="C72" s="7" t="inlineStr">
        <is>
          <t>SGC</t>
        </is>
      </c>
      <c r="D72" s="7" t="inlineStr">
        <is>
          <t>2023</t>
        </is>
      </c>
      <c r="E72" s="7" t="n">
        <v>1</v>
      </c>
      <c r="F72" s="8" t="n">
        <v>46021</v>
      </c>
      <c r="G72" s="7" t="inlineStr">
        <is>
          <t>JOAN IMAYINNE GALVIS MORENO</t>
        </is>
      </c>
      <c r="H72" s="14" t="n">
        <v>2</v>
      </c>
      <c r="I72" s="15">
        <f>IF(H72="","",H72/2)</f>
        <v/>
      </c>
      <c r="J72" s="7">
        <f>IF(H72="",0,IF(SUMPRODUCT((Seguimientos!$A$2:$A$1013=A72)*(Seguimientos!$F$2:$F$1013=F72)*(Seguimientos!$B$2:$B$1013&gt;B72)*(Seguimientos!$H$2:$H$1013&lt;&gt;""))=0,1,0))</f>
        <v/>
      </c>
      <c r="K72" s="7">
        <f>A72&amp;"|"&amp;B72</f>
        <v/>
      </c>
      <c r="L72" s="13" t="inlineStr">
        <is>
          <t>ACTIVIDAD COMPLETADA</t>
        </is>
      </c>
    </row>
    <row r="73">
      <c r="A73" s="7" t="inlineStr">
        <is>
          <t>sgc-2023-1</t>
        </is>
      </c>
      <c r="B73" s="7" t="n">
        <v>8</v>
      </c>
      <c r="C73" s="7" t="inlineStr">
        <is>
          <t>SGC</t>
        </is>
      </c>
      <c r="D73" s="7" t="inlineStr">
        <is>
          <t>2023</t>
        </is>
      </c>
      <c r="E73" s="7" t="n">
        <v>1</v>
      </c>
      <c r="F73" s="8" t="n">
        <v>46142</v>
      </c>
      <c r="G73" s="7" t="inlineStr">
        <is>
          <t>JOAN IMAYINNE GALVIS MORENO</t>
        </is>
      </c>
      <c r="H73" s="14" t="n">
        <v>2</v>
      </c>
      <c r="I73" s="15">
        <f>IF(H73="","",H73/2)</f>
        <v/>
      </c>
      <c r="J73" s="7">
        <f>IF(H73="",0,IF(SUMPRODUCT((Seguimientos!$A$2:$A$1013=A73)*(Seguimientos!$F$2:$F$1013=F73)*(Seguimientos!$B$2:$B$1013&gt;B73)*(Seguimientos!$H$2:$H$1013&lt;&gt;""))=0,1,0))</f>
        <v/>
      </c>
      <c r="K73" s="7">
        <f>A73&amp;"|"&amp;B73</f>
        <v/>
      </c>
      <c r="L73" s="13" t="inlineStr">
        <is>
          <t>ACTIVIDAD COMPLETADA</t>
        </is>
      </c>
    </row>
    <row r="74">
      <c r="A74" s="7" t="inlineStr">
        <is>
          <t>sgc-2023-1</t>
        </is>
      </c>
      <c r="B74" s="7" t="n">
        <v>9</v>
      </c>
      <c r="C74" s="7" t="inlineStr">
        <is>
          <t>SGC</t>
        </is>
      </c>
      <c r="D74" s="7" t="inlineStr">
        <is>
          <t>2023</t>
        </is>
      </c>
      <c r="E74" s="7" t="n">
        <v>1</v>
      </c>
      <c r="F74" s="8" t="n">
        <v>46203</v>
      </c>
      <c r="G74" s="7" t="inlineStr">
        <is>
          <t>JOAN IMAYINNE GALVIS MORENO</t>
        </is>
      </c>
      <c r="H74" s="14" t="n">
        <v>2</v>
      </c>
      <c r="I74" s="15">
        <f>IF(H74="","",H74/2)</f>
        <v/>
      </c>
      <c r="J74" s="7">
        <f>IF(H74="",0,IF(SUMPRODUCT((Seguimientos!$A$2:$A$1013=A74)*(Seguimientos!$F$2:$F$1013=F74)*(Seguimientos!$B$2:$B$1013&gt;B74)*(Seguimientos!$H$2:$H$1013&lt;&gt;""))=0,1,0))</f>
        <v/>
      </c>
      <c r="K74" s="7">
        <f>A74&amp;"|"&amp;B74</f>
        <v/>
      </c>
      <c r="L74" s="13" t="inlineStr">
        <is>
          <t>ACTIVIDAD COMPLETADA</t>
        </is>
      </c>
    </row>
    <row r="75">
      <c r="A75" s="7" t="inlineStr">
        <is>
          <t>sgc-2023-2</t>
        </is>
      </c>
      <c r="B75" s="7" t="n">
        <v>1</v>
      </c>
      <c r="C75" s="7" t="inlineStr">
        <is>
          <t>SGC</t>
        </is>
      </c>
      <c r="D75" s="7" t="inlineStr">
        <is>
          <t>2023</t>
        </is>
      </c>
      <c r="E75" s="7" t="n">
        <v>2</v>
      </c>
      <c r="F75" s="8" t="n">
        <v>45405</v>
      </c>
      <c r="G75" s="7" t="inlineStr">
        <is>
          <t>DANIEL EDUARDO SOTO BERNAL</t>
        </is>
      </c>
      <c r="H75" s="14" t="n">
        <v>0</v>
      </c>
      <c r="I75" s="15">
        <f>IF(H75="","",H75/2)</f>
        <v/>
      </c>
      <c r="J75" s="7">
        <f>IF(H75="",0,IF(SUMPRODUCT((Seguimientos!$A$2:$A$1013=A75)*(Seguimientos!$F$2:$F$1013=F75)*(Seguimientos!$B$2:$B$1013&gt;B75)*(Seguimientos!$H$2:$H$1013&lt;&gt;""))=0,1,0))</f>
        <v/>
      </c>
      <c r="K75" s="7">
        <f>A75&amp;"|"&amp;B75</f>
        <v/>
      </c>
      <c r="L75" s="13" t="inlineStr">
        <is>
          <t>Actividad pendiente por cumplir, No soportan evidencia.</t>
        </is>
      </c>
    </row>
    <row r="76">
      <c r="A76" s="7" t="inlineStr">
        <is>
          <t>sgc-2023-2</t>
        </is>
      </c>
      <c r="B76" s="7" t="n">
        <v>2</v>
      </c>
      <c r="C76" s="7" t="inlineStr">
        <is>
          <t>SGC</t>
        </is>
      </c>
      <c r="D76" s="7" t="inlineStr">
        <is>
          <t>2023</t>
        </is>
      </c>
      <c r="E76" s="7" t="n">
        <v>2</v>
      </c>
      <c r="F76" s="8" t="n">
        <v>45497</v>
      </c>
      <c r="G76" s="7" t="inlineStr">
        <is>
          <t>DANIEL EDUARDO SOTO BERNAL</t>
        </is>
      </c>
      <c r="H76" s="14" t="n">
        <v>0</v>
      </c>
      <c r="I76" s="15">
        <f>IF(H76="","",H76/2)</f>
        <v/>
      </c>
      <c r="J76" s="7">
        <f>IF(H76="",0,IF(SUMPRODUCT((Seguimientos!$A$2:$A$1013=A76)*(Seguimientos!$F$2:$F$1013=F76)*(Seguimientos!$B$2:$B$1013&gt;B76)*(Seguimientos!$H$2:$H$1013&lt;&gt;""))=0,1,0))</f>
        <v/>
      </c>
      <c r="K76" s="7">
        <f>A76&amp;"|"&amp;B76</f>
        <v/>
      </c>
      <c r="L76" s="13" t="inlineStr">
        <is>
          <t>Actividad en proceso: Actualmente, desde la Dirección de Planeación Institucional se está llevando a cabo una planificación para organizar una mesa de trabajo interdisciplinaria con la Dirección de Bienes y Recursos Físicos y Servicios Generales. El objetivo de esta mesa de trabajo es abordar y coordinar la solicitud de traslado del Data Center. Esta colaboración permitirá evaluar los requisitos técnicos, logísticos y de seguridad necesarios para realizar el traslado de manera eficiente y segura, garantizando que el proceso se alinee con los objetivos estratégicos y operativos de la organización.</t>
        </is>
      </c>
    </row>
    <row r="77">
      <c r="A77" s="7" t="inlineStr">
        <is>
          <t>sgc-2023-2</t>
        </is>
      </c>
      <c r="B77" s="7" t="n">
        <v>3</v>
      </c>
      <c r="C77" s="7" t="inlineStr">
        <is>
          <t>SGC</t>
        </is>
      </c>
      <c r="D77" s="7" t="inlineStr">
        <is>
          <t>2023</t>
        </is>
      </c>
      <c r="E77" s="7" t="n">
        <v>2</v>
      </c>
      <c r="F77" s="8" t="n">
        <v>45583</v>
      </c>
      <c r="G77" s="7" t="inlineStr">
        <is>
          <t>DANIEL EDUARDO SOTO BERNAL</t>
        </is>
      </c>
      <c r="H77" s="14" t="n">
        <v>1</v>
      </c>
      <c r="I77" s="15">
        <f>IF(H77="","",H77/2)</f>
        <v/>
      </c>
      <c r="J77" s="7">
        <f>IF(H77="",0,IF(SUMPRODUCT((Seguimientos!$A$2:$A$1013=A77)*(Seguimientos!$F$2:$F$1013=F77)*(Seguimientos!$B$2:$B$1013&gt;B77)*(Seguimientos!$H$2:$H$1013&lt;&gt;""))=0,1,0))</f>
        <v/>
      </c>
      <c r="K77" s="7">
        <f>A77&amp;"|"&amp;B77</f>
        <v/>
      </c>
      <c r="L77" s="13" t="inlineStr">
        <is>
          <t>De acuerdo con lo solicitado por la Dirección de Sistemas y Tecnología en cuanto al traslado del Data Center actualmente ubicado en dicha oficina, la Dirección de Planeación Institucional convoco con una visita técnica en sitio el 20 de agosto de 2024, en compañía de la Dirección de bienes y Servicios para evaluar los solicitado. En la cual se evaluó lo siguiente: 1. Los cables se encuentran a nivel de piso terminado por lo que recomienda utilizar una bandeja que pueda elevar los mismo al menos unos 20cm para evitar el contacto con el piso y en una eventual inundación no tener problemas. 2. No se encontraron humedades en el cielo raso, ya que se cuenta con placa de entrepiso en el nivel superior y no se observan tubos que puedan generar este problema. 3. La puerta no cumple con la normativa ya que la abertura se encuentra hacia adentro del data center "apertura negativa". Pero se aclara que por temas de espacio no es posible cambiar el sentido de la apertura. 4. En cuanto a la inundación de la que se tiene registro se puede concluir que no ocurrió por falta de nivel del piso, sino por falta de mantenimiento de la rejilla de desagüé de una de las puertas de acceso del bloque que colinda con la vía de salida vehicular. 5. Se recomienda realizar mantenimiento periódico de los drenajes para evitar este tipo de inundaciones. Actividad se realizaría en noviembre, la cual fue aplazada.</t>
        </is>
      </c>
    </row>
    <row r="78">
      <c r="A78" s="7" t="inlineStr">
        <is>
          <t>sgc-2023-2</t>
        </is>
      </c>
      <c r="B78" s="7" t="n">
        <v>4</v>
      </c>
      <c r="C78" s="7" t="inlineStr">
        <is>
          <t>SGC</t>
        </is>
      </c>
      <c r="D78" s="7" t="inlineStr">
        <is>
          <t>2023</t>
        </is>
      </c>
      <c r="E78" s="7" t="n">
        <v>2</v>
      </c>
      <c r="F78" s="8" t="n">
        <v>45777</v>
      </c>
      <c r="G78" s="7" t="inlineStr">
        <is>
          <t>DANIEL EDUARDO SOTO BERNAL</t>
        </is>
      </c>
      <c r="H78" s="14" t="n">
        <v>2</v>
      </c>
      <c r="I78" s="15">
        <f>IF(H78="","",H78/2)</f>
        <v/>
      </c>
      <c r="J78" s="7">
        <f>IF(H78="",0,IF(SUMPRODUCT((Seguimientos!$A$2:$A$1013=A78)*(Seguimientos!$F$2:$F$1013=F78)*(Seguimientos!$B$2:$B$1013&gt;B78)*(Seguimientos!$H$2:$H$1013&lt;&gt;""))=0,1,0))</f>
        <v/>
      </c>
      <c r="K78" s="7">
        <f>A78&amp;"|"&amp;B78</f>
        <v/>
      </c>
      <c r="L78" s="13" t="inlineStr">
        <is>
          <t>Se anexa la trazabilidad de correos electrónicos que evidencia las gestiones realizadas y las acciones adelantadas, levanto del nivel del suelo dando solución a esta actividad.</t>
        </is>
      </c>
    </row>
    <row r="79">
      <c r="A79" s="7" t="inlineStr">
        <is>
          <t>sgc-2023-2</t>
        </is>
      </c>
      <c r="B79" s="7" t="n">
        <v>5</v>
      </c>
      <c r="C79" s="7" t="inlineStr">
        <is>
          <t>SGC</t>
        </is>
      </c>
      <c r="D79" s="7" t="inlineStr">
        <is>
          <t>2023</t>
        </is>
      </c>
      <c r="E79" s="7" t="n">
        <v>2</v>
      </c>
      <c r="F79" s="8" t="n">
        <v>45838</v>
      </c>
      <c r="G79" s="7" t="inlineStr">
        <is>
          <t>DANIEL EDUARDO SOTO BERNAL</t>
        </is>
      </c>
      <c r="H79" s="14" t="n">
        <v>2</v>
      </c>
      <c r="I79" s="15">
        <f>IF(H79="","",H79/2)</f>
        <v/>
      </c>
      <c r="J79" s="7">
        <f>IF(H79="",0,IF(SUMPRODUCT((Seguimientos!$A$2:$A$1013=A79)*(Seguimientos!$F$2:$F$1013=F79)*(Seguimientos!$B$2:$B$1013&gt;B79)*(Seguimientos!$H$2:$H$1013&lt;&gt;""))=0,1,0))</f>
        <v/>
      </c>
      <c r="K79" s="7">
        <f>A79&amp;"|"&amp;B79</f>
        <v/>
      </c>
      <c r="L79" s="13" t="inlineStr">
        <is>
          <t>ACTIVIDAD COMPLETADA</t>
        </is>
      </c>
    </row>
    <row r="80">
      <c r="A80" s="7" t="inlineStr">
        <is>
          <t>sgc-2023-2</t>
        </is>
      </c>
      <c r="B80" s="7" t="n">
        <v>6</v>
      </c>
      <c r="C80" s="7" t="inlineStr">
        <is>
          <t>SGC</t>
        </is>
      </c>
      <c r="D80" s="7" t="inlineStr">
        <is>
          <t>2023</t>
        </is>
      </c>
      <c r="E80" s="7" t="n">
        <v>2</v>
      </c>
      <c r="F80" s="8" t="n">
        <v>45930</v>
      </c>
      <c r="G80" s="7" t="inlineStr">
        <is>
          <t>JOAN IMAYINNE GALVIS MORENO</t>
        </is>
      </c>
      <c r="H80" s="14" t="n">
        <v>2</v>
      </c>
      <c r="I80" s="15">
        <f>IF(H80="","",H80/2)</f>
        <v/>
      </c>
      <c r="J80" s="7">
        <f>IF(H80="",0,IF(SUMPRODUCT((Seguimientos!$A$2:$A$1013=A80)*(Seguimientos!$F$2:$F$1013=F80)*(Seguimientos!$B$2:$B$1013&gt;B80)*(Seguimientos!$H$2:$H$1013&lt;&gt;""))=0,1,0))</f>
        <v/>
      </c>
      <c r="K80" s="7">
        <f>A80&amp;"|"&amp;B80</f>
        <v/>
      </c>
      <c r="L80" s="13" t="inlineStr">
        <is>
          <t>ACTIVIDAD COMPLETADA</t>
        </is>
      </c>
    </row>
    <row r="81">
      <c r="A81" s="7" t="inlineStr">
        <is>
          <t>sgc-2023-2</t>
        </is>
      </c>
      <c r="B81" s="7" t="n">
        <v>7</v>
      </c>
      <c r="C81" s="7" t="inlineStr">
        <is>
          <t>SGC</t>
        </is>
      </c>
      <c r="D81" s="7" t="inlineStr">
        <is>
          <t>2023</t>
        </is>
      </c>
      <c r="E81" s="7" t="n">
        <v>2</v>
      </c>
      <c r="F81" s="8" t="n">
        <v>46021</v>
      </c>
      <c r="G81" s="7" t="inlineStr">
        <is>
          <t>JOAN IMAYINNE GALVIS MORENO</t>
        </is>
      </c>
      <c r="H81" s="14" t="n">
        <v>2</v>
      </c>
      <c r="I81" s="15">
        <f>IF(H81="","",H81/2)</f>
        <v/>
      </c>
      <c r="J81" s="7">
        <f>IF(H81="",0,IF(SUMPRODUCT((Seguimientos!$A$2:$A$1013=A81)*(Seguimientos!$F$2:$F$1013=F81)*(Seguimientos!$B$2:$B$1013&gt;B81)*(Seguimientos!$H$2:$H$1013&lt;&gt;""))=0,1,0))</f>
        <v/>
      </c>
      <c r="K81" s="7">
        <f>A81&amp;"|"&amp;B81</f>
        <v/>
      </c>
      <c r="L81" s="13" t="inlineStr">
        <is>
          <t>ACTIVIDAD COMPLETADA</t>
        </is>
      </c>
    </row>
    <row r="82">
      <c r="A82" s="7" t="inlineStr">
        <is>
          <t>sgc-2023-2</t>
        </is>
      </c>
      <c r="B82" s="7" t="n">
        <v>8</v>
      </c>
      <c r="C82" s="7" t="inlineStr">
        <is>
          <t>SGC</t>
        </is>
      </c>
      <c r="D82" s="7" t="inlineStr">
        <is>
          <t>2023</t>
        </is>
      </c>
      <c r="E82" s="7" t="n">
        <v>2</v>
      </c>
      <c r="F82" s="8" t="n">
        <v>46142</v>
      </c>
      <c r="G82" s="7" t="inlineStr">
        <is>
          <t>JOAN IMAYINNE GALVIS MORENO</t>
        </is>
      </c>
      <c r="H82" s="14" t="n">
        <v>2</v>
      </c>
      <c r="I82" s="15">
        <f>IF(H82="","",H82/2)</f>
        <v/>
      </c>
      <c r="J82" s="7">
        <f>IF(H82="",0,IF(SUMPRODUCT((Seguimientos!$A$2:$A$1013=A82)*(Seguimientos!$F$2:$F$1013=F82)*(Seguimientos!$B$2:$B$1013&gt;B82)*(Seguimientos!$H$2:$H$1013&lt;&gt;""))=0,1,0))</f>
        <v/>
      </c>
      <c r="K82" s="7">
        <f>A82&amp;"|"&amp;B82</f>
        <v/>
      </c>
      <c r="L82" s="13" t="inlineStr">
        <is>
          <t>ACTIVIDAD COMPLETADA</t>
        </is>
      </c>
    </row>
    <row r="83">
      <c r="A83" s="7" t="inlineStr">
        <is>
          <t>sgc-2023-2</t>
        </is>
      </c>
      <c r="B83" s="7" t="n">
        <v>9</v>
      </c>
      <c r="C83" s="7" t="inlineStr">
        <is>
          <t>SGC</t>
        </is>
      </c>
      <c r="D83" s="7" t="inlineStr">
        <is>
          <t>2023</t>
        </is>
      </c>
      <c r="E83" s="7" t="n">
        <v>2</v>
      </c>
      <c r="F83" s="8" t="n">
        <v>46203</v>
      </c>
      <c r="G83" s="7" t="inlineStr">
        <is>
          <t>JOAN IMAYINNE GALVIS MORENO</t>
        </is>
      </c>
      <c r="H83" s="14" t="n">
        <v>2</v>
      </c>
      <c r="I83" s="15">
        <f>IF(H83="","",H83/2)</f>
        <v/>
      </c>
      <c r="J83" s="7">
        <f>IF(H83="",0,IF(SUMPRODUCT((Seguimientos!$A$2:$A$1013=A83)*(Seguimientos!$F$2:$F$1013=F83)*(Seguimientos!$B$2:$B$1013&gt;B83)*(Seguimientos!$H$2:$H$1013&lt;&gt;""))=0,1,0))</f>
        <v/>
      </c>
      <c r="K83" s="7">
        <f>A83&amp;"|"&amp;B83</f>
        <v/>
      </c>
      <c r="L83" s="13" t="inlineStr">
        <is>
          <t>ACTIVIDAD COMPLETADA</t>
        </is>
      </c>
    </row>
    <row r="84">
      <c r="A84" s="7" t="inlineStr">
        <is>
          <t>sgc-2023-3</t>
        </is>
      </c>
      <c r="B84" s="7" t="n">
        <v>1</v>
      </c>
      <c r="C84" s="7" t="inlineStr">
        <is>
          <t>SGC</t>
        </is>
      </c>
      <c r="D84" s="7" t="inlineStr">
        <is>
          <t>2023</t>
        </is>
      </c>
      <c r="E84" s="7" t="n">
        <v>3</v>
      </c>
      <c r="F84" s="8" t="n">
        <v>45405</v>
      </c>
      <c r="G84" s="7" t="inlineStr">
        <is>
          <t>DANIEL EDUARDO SOTO BERNAL</t>
        </is>
      </c>
      <c r="H84" s="14" t="n">
        <v>1.5</v>
      </c>
      <c r="I84" s="15">
        <f>IF(H84="","",H84/2)</f>
        <v/>
      </c>
      <c r="J84" s="7">
        <f>IF(H84="",0,IF(SUMPRODUCT((Seguimientos!$A$2:$A$1013=A84)*(Seguimientos!$F$2:$F$1013=F84)*(Seguimientos!$B$2:$B$1013&gt;B84)*(Seguimientos!$H$2:$H$1013&lt;&gt;""))=0,1,0))</f>
        <v/>
      </c>
      <c r="K84" s="7">
        <f>A84&amp;"|"&amp;B84</f>
        <v/>
      </c>
      <c r="L84" s="13" t="inlineStr">
        <is>
          <t>La Oficina de Compras, en cumplimiento de su compromiso, presenta pruebas de las diversas mesas de trabajo, capacitaciones virtuales y jornadas de sensibilización dirigidas a las áreas solicitantes. Es importante resaltar que tanto los gestores como los abogados adscritos a la oficina prestan apoyo en la revisión de los ABS y en la evaluación de los proponentes para garantizar los principios generales de la contratación estatal establecidos en el Manual de Contratación de la Universidad de Cundinamarca, la Constitución y la Ley. PENDIENTE CAPACITACIÓN JULIO 2024.</t>
        </is>
      </c>
    </row>
    <row r="85">
      <c r="A85" s="7" t="inlineStr">
        <is>
          <t>sgc-2023-3</t>
        </is>
      </c>
      <c r="B85" s="7" t="n">
        <v>2</v>
      </c>
      <c r="C85" s="7" t="inlineStr">
        <is>
          <t>SGC</t>
        </is>
      </c>
      <c r="D85" s="7" t="inlineStr">
        <is>
          <t>2023</t>
        </is>
      </c>
      <c r="E85" s="7" t="n">
        <v>3</v>
      </c>
      <c r="F85" s="8" t="n">
        <v>45497</v>
      </c>
      <c r="G85" s="7" t="inlineStr">
        <is>
          <t>DANIEL EDUARDO SOTO BERNAL</t>
        </is>
      </c>
      <c r="H85" s="14" t="n">
        <v>2</v>
      </c>
      <c r="I85" s="15">
        <f>IF(H85="","",H85/2)</f>
        <v/>
      </c>
      <c r="J85" s="7">
        <f>IF(H85="",0,IF(SUMPRODUCT((Seguimientos!$A$2:$A$1013=A85)*(Seguimientos!$F$2:$F$1013=F85)*(Seguimientos!$B$2:$B$1013&gt;B85)*(Seguimientos!$H$2:$H$1013&lt;&gt;""))=0,1,0))</f>
        <v/>
      </c>
      <c r="K85" s="7">
        <f>A85&amp;"|"&amp;B85</f>
        <v/>
      </c>
      <c r="L85" s="13" t="inlineStr">
        <is>
          <t>La oficina de Compras adjunta 6 (seis) registro de asistencias de las capacitaciones que se realizan reforzando en los temas contractuales y a quienes los soliciten, cumpliendo con la actividad propuesta para Nov de 2023, Feb y Julio de 2024.</t>
        </is>
      </c>
    </row>
    <row r="86">
      <c r="A86" s="7" t="inlineStr">
        <is>
          <t>sgc-2023-3</t>
        </is>
      </c>
      <c r="B86" s="7" t="n">
        <v>3</v>
      </c>
      <c r="C86" s="7" t="inlineStr">
        <is>
          <t>SGC</t>
        </is>
      </c>
      <c r="D86" s="7" t="inlineStr">
        <is>
          <t>2023</t>
        </is>
      </c>
      <c r="E86" s="7" t="n">
        <v>3</v>
      </c>
      <c r="F86" s="8" t="n">
        <v>45583</v>
      </c>
      <c r="G86" s="7" t="inlineStr">
        <is>
          <t>DANIEL EDUARDO SOTO BERNAL</t>
        </is>
      </c>
      <c r="H86" s="14" t="n">
        <v>2</v>
      </c>
      <c r="I86" s="15">
        <f>IF(H86="","",H86/2)</f>
        <v/>
      </c>
      <c r="J86" s="7">
        <f>IF(H86="",0,IF(SUMPRODUCT((Seguimientos!$A$2:$A$1013=A86)*(Seguimientos!$F$2:$F$1013=F86)*(Seguimientos!$B$2:$B$1013&gt;B86)*(Seguimientos!$H$2:$H$1013&lt;&gt;""))=0,1,0))</f>
        <v/>
      </c>
      <c r="K86" s="7">
        <f>A86&amp;"|"&amp;B86</f>
        <v/>
      </c>
      <c r="L86" s="13" t="inlineStr">
        <is>
          <t>ACTIVIDAD COMPLETADA</t>
        </is>
      </c>
    </row>
    <row r="87">
      <c r="A87" s="7" t="inlineStr">
        <is>
          <t>sgc-2023-3</t>
        </is>
      </c>
      <c r="B87" s="7" t="n">
        <v>4</v>
      </c>
      <c r="C87" s="7" t="inlineStr">
        <is>
          <t>SGC</t>
        </is>
      </c>
      <c r="D87" s="7" t="inlineStr">
        <is>
          <t>2023</t>
        </is>
      </c>
      <c r="E87" s="7" t="n">
        <v>3</v>
      </c>
      <c r="F87" s="8" t="n">
        <v>45777</v>
      </c>
      <c r="G87" s="7" t="inlineStr">
        <is>
          <t>DANIEL EDUARDO SOTO BERNAL</t>
        </is>
      </c>
      <c r="H87" s="14" t="n">
        <v>2</v>
      </c>
      <c r="I87" s="15">
        <f>IF(H87="","",H87/2)</f>
        <v/>
      </c>
      <c r="J87" s="7">
        <f>IF(H87="",0,IF(SUMPRODUCT((Seguimientos!$A$2:$A$1013=A87)*(Seguimientos!$F$2:$F$1013=F87)*(Seguimientos!$B$2:$B$1013&gt;B87)*(Seguimientos!$H$2:$H$1013&lt;&gt;""))=0,1,0))</f>
        <v/>
      </c>
      <c r="K87" s="7">
        <f>A87&amp;"|"&amp;B87</f>
        <v/>
      </c>
      <c r="L87" s="13" t="inlineStr">
        <is>
          <t>ACTIVIDAD COMPLETADA</t>
        </is>
      </c>
    </row>
    <row r="88">
      <c r="A88" s="7" t="inlineStr">
        <is>
          <t>sgc-2023-3</t>
        </is>
      </c>
      <c r="B88" s="7" t="n">
        <v>5</v>
      </c>
      <c r="C88" s="7" t="inlineStr">
        <is>
          <t>SGC</t>
        </is>
      </c>
      <c r="D88" s="7" t="inlineStr">
        <is>
          <t>2023</t>
        </is>
      </c>
      <c r="E88" s="7" t="n">
        <v>3</v>
      </c>
      <c r="F88" s="8" t="n">
        <v>45838</v>
      </c>
      <c r="G88" s="7" t="inlineStr">
        <is>
          <t>DANIEL EDUARDO SOTO BERNAL</t>
        </is>
      </c>
      <c r="H88" s="14" t="n">
        <v>2</v>
      </c>
      <c r="I88" s="15">
        <f>IF(H88="","",H88/2)</f>
        <v/>
      </c>
      <c r="J88" s="7">
        <f>IF(H88="",0,IF(SUMPRODUCT((Seguimientos!$A$2:$A$1013=A88)*(Seguimientos!$F$2:$F$1013=F88)*(Seguimientos!$B$2:$B$1013&gt;B88)*(Seguimientos!$H$2:$H$1013&lt;&gt;""))=0,1,0))</f>
        <v/>
      </c>
      <c r="K88" s="7">
        <f>A88&amp;"|"&amp;B88</f>
        <v/>
      </c>
      <c r="L88" s="13" t="inlineStr">
        <is>
          <t>ACTIVIDAD COMPLETADA</t>
        </is>
      </c>
    </row>
    <row r="89">
      <c r="A89" s="7" t="inlineStr">
        <is>
          <t>sgc-2023-3</t>
        </is>
      </c>
      <c r="B89" s="7" t="n">
        <v>6</v>
      </c>
      <c r="C89" s="7" t="inlineStr">
        <is>
          <t>SGC</t>
        </is>
      </c>
      <c r="D89" s="7" t="inlineStr">
        <is>
          <t>2023</t>
        </is>
      </c>
      <c r="E89" s="7" t="n">
        <v>3</v>
      </c>
      <c r="F89" s="8" t="n">
        <v>45930</v>
      </c>
      <c r="G89" s="7" t="inlineStr">
        <is>
          <t>JOAN IMAYINNE GALVIS MORENO</t>
        </is>
      </c>
      <c r="H89" s="14" t="n">
        <v>2</v>
      </c>
      <c r="I89" s="15">
        <f>IF(H89="","",H89/2)</f>
        <v/>
      </c>
      <c r="J89" s="7">
        <f>IF(H89="",0,IF(SUMPRODUCT((Seguimientos!$A$2:$A$1013=A89)*(Seguimientos!$F$2:$F$1013=F89)*(Seguimientos!$B$2:$B$1013&gt;B89)*(Seguimientos!$H$2:$H$1013&lt;&gt;""))=0,1,0))</f>
        <v/>
      </c>
      <c r="K89" s="7">
        <f>A89&amp;"|"&amp;B89</f>
        <v/>
      </c>
      <c r="L89" s="13" t="inlineStr">
        <is>
          <t>ACTIVIDAD COMPLETADA</t>
        </is>
      </c>
    </row>
    <row r="90">
      <c r="A90" s="7" t="inlineStr">
        <is>
          <t>sgc-2023-3</t>
        </is>
      </c>
      <c r="B90" s="7" t="n">
        <v>7</v>
      </c>
      <c r="C90" s="7" t="inlineStr">
        <is>
          <t>SGC</t>
        </is>
      </c>
      <c r="D90" s="7" t="inlineStr">
        <is>
          <t>2023</t>
        </is>
      </c>
      <c r="E90" s="7" t="n">
        <v>3</v>
      </c>
      <c r="F90" s="8" t="n">
        <v>46021</v>
      </c>
      <c r="G90" s="7" t="inlineStr">
        <is>
          <t>JOAN IMAYINNE GALVIS MORENO</t>
        </is>
      </c>
      <c r="H90" s="14" t="n">
        <v>2</v>
      </c>
      <c r="I90" s="15">
        <f>IF(H90="","",H90/2)</f>
        <v/>
      </c>
      <c r="J90" s="7">
        <f>IF(H90="",0,IF(SUMPRODUCT((Seguimientos!$A$2:$A$1013=A90)*(Seguimientos!$F$2:$F$1013=F90)*(Seguimientos!$B$2:$B$1013&gt;B90)*(Seguimientos!$H$2:$H$1013&lt;&gt;""))=0,1,0))</f>
        <v/>
      </c>
      <c r="K90" s="7">
        <f>A90&amp;"|"&amp;B90</f>
        <v/>
      </c>
      <c r="L90" s="13" t="inlineStr">
        <is>
          <t>ACTIVIDAD COMPLETADA</t>
        </is>
      </c>
    </row>
    <row r="91">
      <c r="A91" s="7" t="inlineStr">
        <is>
          <t>sgc-2023-3</t>
        </is>
      </c>
      <c r="B91" s="7" t="n">
        <v>8</v>
      </c>
      <c r="C91" s="7" t="inlineStr">
        <is>
          <t>SGC</t>
        </is>
      </c>
      <c r="D91" s="7" t="inlineStr">
        <is>
          <t>2023</t>
        </is>
      </c>
      <c r="E91" s="7" t="n">
        <v>3</v>
      </c>
      <c r="F91" s="8" t="n">
        <v>46142</v>
      </c>
      <c r="G91" s="7" t="inlineStr">
        <is>
          <t>JOAN IMAYINNE GALVIS MORENO</t>
        </is>
      </c>
      <c r="H91" s="14" t="n">
        <v>2</v>
      </c>
      <c r="I91" s="15">
        <f>IF(H91="","",H91/2)</f>
        <v/>
      </c>
      <c r="J91" s="7">
        <f>IF(H91="",0,IF(SUMPRODUCT((Seguimientos!$A$2:$A$1013=A91)*(Seguimientos!$F$2:$F$1013=F91)*(Seguimientos!$B$2:$B$1013&gt;B91)*(Seguimientos!$H$2:$H$1013&lt;&gt;""))=0,1,0))</f>
        <v/>
      </c>
      <c r="K91" s="7">
        <f>A91&amp;"|"&amp;B91</f>
        <v/>
      </c>
      <c r="L91" s="13" t="inlineStr">
        <is>
          <t>ACTIVIDAD COMPLETADA</t>
        </is>
      </c>
    </row>
    <row r="92">
      <c r="A92" s="7" t="inlineStr">
        <is>
          <t>sgc-2023-3</t>
        </is>
      </c>
      <c r="B92" s="7" t="n">
        <v>9</v>
      </c>
      <c r="C92" s="7" t="inlineStr">
        <is>
          <t>SGC</t>
        </is>
      </c>
      <c r="D92" s="7" t="inlineStr">
        <is>
          <t>2023</t>
        </is>
      </c>
      <c r="E92" s="7" t="n">
        <v>3</v>
      </c>
      <c r="F92" s="8" t="n">
        <v>46203</v>
      </c>
      <c r="G92" s="7" t="inlineStr">
        <is>
          <t>JOAN IMAYINNE GALVIS MORENO</t>
        </is>
      </c>
      <c r="H92" s="14" t="n">
        <v>2</v>
      </c>
      <c r="I92" s="15">
        <f>IF(H92="","",H92/2)</f>
        <v/>
      </c>
      <c r="J92" s="7">
        <f>IF(H92="",0,IF(SUMPRODUCT((Seguimientos!$A$2:$A$1013=A92)*(Seguimientos!$F$2:$F$1013=F92)*(Seguimientos!$B$2:$B$1013&gt;B92)*(Seguimientos!$H$2:$H$1013&lt;&gt;""))=0,1,0))</f>
        <v/>
      </c>
      <c r="K92" s="7">
        <f>A92&amp;"|"&amp;B92</f>
        <v/>
      </c>
      <c r="L92" s="13" t="inlineStr">
        <is>
          <t>ACTIVIDAD COMPLETADA</t>
        </is>
      </c>
    </row>
    <row r="93">
      <c r="A93" s="7" t="inlineStr">
        <is>
          <t>sgc-2023-4</t>
        </is>
      </c>
      <c r="B93" s="7" t="n">
        <v>1</v>
      </c>
      <c r="C93" s="7" t="inlineStr">
        <is>
          <t>SGC</t>
        </is>
      </c>
      <c r="D93" s="7" t="inlineStr">
        <is>
          <t>2023</t>
        </is>
      </c>
      <c r="E93" s="7" t="n">
        <v>4</v>
      </c>
      <c r="F93" s="8" t="n">
        <v>45405</v>
      </c>
      <c r="G93" s="7" t="inlineStr">
        <is>
          <t>DANIEL EDUARDO SOTO BERNAL</t>
        </is>
      </c>
      <c r="H93" s="14" t="n">
        <v>2</v>
      </c>
      <c r="I93" s="15">
        <f>IF(H93="","",H93/2)</f>
        <v/>
      </c>
      <c r="J93" s="7">
        <f>IF(H93="",0,IF(SUMPRODUCT((Seguimientos!$A$2:$A$1013=A93)*(Seguimientos!$F$2:$F$1013=F93)*(Seguimientos!$B$2:$B$1013&gt;B93)*(Seguimientos!$H$2:$H$1013&lt;&gt;""))=0,1,0))</f>
        <v/>
      </c>
      <c r="K93" s="7">
        <f>A93&amp;"|"&amp;B93</f>
        <v/>
      </c>
      <c r="L93" s="13" t="inlineStr">
        <is>
          <t>Se realiza el cargue del registro de asistencia a las capacitaciones realizadas por el área de Uso y Apropiación de Sistemas de Información.</t>
        </is>
      </c>
    </row>
    <row r="94">
      <c r="A94" s="7" t="inlineStr">
        <is>
          <t>sgc-2023-4</t>
        </is>
      </c>
      <c r="B94" s="7" t="n">
        <v>2</v>
      </c>
      <c r="C94" s="7" t="inlineStr">
        <is>
          <t>SGC</t>
        </is>
      </c>
      <c r="D94" s="7" t="inlineStr">
        <is>
          <t>2023</t>
        </is>
      </c>
      <c r="E94" s="7" t="n">
        <v>4</v>
      </c>
      <c r="F94" s="8" t="n">
        <v>45497</v>
      </c>
      <c r="G94" s="7" t="inlineStr">
        <is>
          <t>DANIEL EDUARDO SOTO BERNAL</t>
        </is>
      </c>
      <c r="H94" s="14" t="n">
        <v>2</v>
      </c>
      <c r="I94" s="15">
        <f>IF(H94="","",H94/2)</f>
        <v/>
      </c>
      <c r="J94" s="7">
        <f>IF(H94="",0,IF(SUMPRODUCT((Seguimientos!$A$2:$A$1013=A94)*(Seguimientos!$F$2:$F$1013=F94)*(Seguimientos!$B$2:$B$1013&gt;B94)*(Seguimientos!$H$2:$H$1013&lt;&gt;""))=0,1,0))</f>
        <v/>
      </c>
      <c r="K94" s="7">
        <f>A94&amp;"|"&amp;B94</f>
        <v/>
      </c>
      <c r="L94" s="13" t="inlineStr">
        <is>
          <t>ACTIVIDAD COMPLETADA</t>
        </is>
      </c>
    </row>
    <row r="95">
      <c r="A95" s="7" t="inlineStr">
        <is>
          <t>sgc-2023-4</t>
        </is>
      </c>
      <c r="B95" s="7" t="n">
        <v>3</v>
      </c>
      <c r="C95" s="7" t="inlineStr">
        <is>
          <t>SGC</t>
        </is>
      </c>
      <c r="D95" s="7" t="inlineStr">
        <is>
          <t>2023</t>
        </is>
      </c>
      <c r="E95" s="7" t="n">
        <v>4</v>
      </c>
      <c r="F95" s="8" t="n">
        <v>45583</v>
      </c>
      <c r="G95" s="7" t="inlineStr">
        <is>
          <t>DANIEL EDUARDO SOTO BERNAL</t>
        </is>
      </c>
      <c r="H95" s="14" t="n">
        <v>2</v>
      </c>
      <c r="I95" s="15">
        <f>IF(H95="","",H95/2)</f>
        <v/>
      </c>
      <c r="J95" s="7">
        <f>IF(H95="",0,IF(SUMPRODUCT((Seguimientos!$A$2:$A$1013=A95)*(Seguimientos!$F$2:$F$1013=F95)*(Seguimientos!$B$2:$B$1013&gt;B95)*(Seguimientos!$H$2:$H$1013&lt;&gt;""))=0,1,0))</f>
        <v/>
      </c>
      <c r="K95" s="7">
        <f>A95&amp;"|"&amp;B95</f>
        <v/>
      </c>
      <c r="L95" s="13" t="inlineStr">
        <is>
          <t>ACTIVIDAD COMPLETADA</t>
        </is>
      </c>
    </row>
    <row r="96">
      <c r="A96" s="7" t="inlineStr">
        <is>
          <t>sgc-2023-4</t>
        </is>
      </c>
      <c r="B96" s="7" t="n">
        <v>4</v>
      </c>
      <c r="C96" s="7" t="inlineStr">
        <is>
          <t>SGC</t>
        </is>
      </c>
      <c r="D96" s="7" t="inlineStr">
        <is>
          <t>2023</t>
        </is>
      </c>
      <c r="E96" s="7" t="n">
        <v>4</v>
      </c>
      <c r="F96" s="8" t="n">
        <v>45777</v>
      </c>
      <c r="G96" s="7" t="inlineStr">
        <is>
          <t>DANIEL EDUARDO SOTO BERNAL</t>
        </is>
      </c>
      <c r="H96" s="14" t="n">
        <v>2</v>
      </c>
      <c r="I96" s="15">
        <f>IF(H96="","",H96/2)</f>
        <v/>
      </c>
      <c r="J96" s="7">
        <f>IF(H96="",0,IF(SUMPRODUCT((Seguimientos!$A$2:$A$1013=A96)*(Seguimientos!$F$2:$F$1013=F96)*(Seguimientos!$B$2:$B$1013&gt;B96)*(Seguimientos!$H$2:$H$1013&lt;&gt;""))=0,1,0))</f>
        <v/>
      </c>
      <c r="K96" s="7">
        <f>A96&amp;"|"&amp;B96</f>
        <v/>
      </c>
      <c r="L96" s="13" t="inlineStr">
        <is>
          <t>ACTIVIDAD COMPLETADA</t>
        </is>
      </c>
    </row>
    <row r="97">
      <c r="A97" s="7" t="inlineStr">
        <is>
          <t>sgc-2023-4</t>
        </is>
      </c>
      <c r="B97" s="7" t="n">
        <v>5</v>
      </c>
      <c r="C97" s="7" t="inlineStr">
        <is>
          <t>SGC</t>
        </is>
      </c>
      <c r="D97" s="7" t="inlineStr">
        <is>
          <t>2023</t>
        </is>
      </c>
      <c r="E97" s="7" t="n">
        <v>4</v>
      </c>
      <c r="F97" s="8" t="n">
        <v>45838</v>
      </c>
      <c r="G97" s="7" t="inlineStr">
        <is>
          <t>DANIEL EDUARDO SOTO BERNAL</t>
        </is>
      </c>
      <c r="H97" s="14" t="n">
        <v>2</v>
      </c>
      <c r="I97" s="15">
        <f>IF(H97="","",H97/2)</f>
        <v/>
      </c>
      <c r="J97" s="7">
        <f>IF(H97="",0,IF(SUMPRODUCT((Seguimientos!$A$2:$A$1013=A97)*(Seguimientos!$F$2:$F$1013=F97)*(Seguimientos!$B$2:$B$1013&gt;B97)*(Seguimientos!$H$2:$H$1013&lt;&gt;""))=0,1,0))</f>
        <v/>
      </c>
      <c r="K97" s="7">
        <f>A97&amp;"|"&amp;B97</f>
        <v/>
      </c>
      <c r="L97" s="13" t="inlineStr">
        <is>
          <t>ACTIVIDAD COMPLETADA</t>
        </is>
      </c>
    </row>
    <row r="98">
      <c r="A98" s="7" t="inlineStr">
        <is>
          <t>sgc-2023-4</t>
        </is>
      </c>
      <c r="B98" s="7" t="n">
        <v>6</v>
      </c>
      <c r="C98" s="7" t="inlineStr">
        <is>
          <t>SGC</t>
        </is>
      </c>
      <c r="D98" s="7" t="inlineStr">
        <is>
          <t>2023</t>
        </is>
      </c>
      <c r="E98" s="7" t="n">
        <v>4</v>
      </c>
      <c r="F98" s="8" t="n">
        <v>45930</v>
      </c>
      <c r="G98" s="7" t="inlineStr">
        <is>
          <t>JOAN IMAYINNE GALVIS MORENO</t>
        </is>
      </c>
      <c r="H98" s="14" t="n">
        <v>2</v>
      </c>
      <c r="I98" s="15">
        <f>IF(H98="","",H98/2)</f>
        <v/>
      </c>
      <c r="J98" s="7">
        <f>IF(H98="",0,IF(SUMPRODUCT((Seguimientos!$A$2:$A$1013=A98)*(Seguimientos!$F$2:$F$1013=F98)*(Seguimientos!$B$2:$B$1013&gt;B98)*(Seguimientos!$H$2:$H$1013&lt;&gt;""))=0,1,0))</f>
        <v/>
      </c>
      <c r="K98" s="7">
        <f>A98&amp;"|"&amp;B98</f>
        <v/>
      </c>
      <c r="L98" s="13" t="inlineStr">
        <is>
          <t>ACTIVIDAD COMPLETADA</t>
        </is>
      </c>
    </row>
    <row r="99">
      <c r="A99" s="7" t="inlineStr">
        <is>
          <t>sgc-2023-4</t>
        </is>
      </c>
      <c r="B99" s="7" t="n">
        <v>7</v>
      </c>
      <c r="C99" s="7" t="inlineStr">
        <is>
          <t>SGC</t>
        </is>
      </c>
      <c r="D99" s="7" t="inlineStr">
        <is>
          <t>2023</t>
        </is>
      </c>
      <c r="E99" s="7" t="n">
        <v>4</v>
      </c>
      <c r="F99" s="8" t="n">
        <v>46021</v>
      </c>
      <c r="G99" s="7" t="inlineStr">
        <is>
          <t>JOAN IMAYINNE GALVIS MORENO</t>
        </is>
      </c>
      <c r="H99" s="14" t="n">
        <v>2</v>
      </c>
      <c r="I99" s="15">
        <f>IF(H99="","",H99/2)</f>
        <v/>
      </c>
      <c r="J99" s="7">
        <f>IF(H99="",0,IF(SUMPRODUCT((Seguimientos!$A$2:$A$1013=A99)*(Seguimientos!$F$2:$F$1013=F99)*(Seguimientos!$B$2:$B$1013&gt;B99)*(Seguimientos!$H$2:$H$1013&lt;&gt;""))=0,1,0))</f>
        <v/>
      </c>
      <c r="K99" s="7">
        <f>A99&amp;"|"&amp;B99</f>
        <v/>
      </c>
      <c r="L99" s="13" t="inlineStr">
        <is>
          <t>ACTIVIDAD COMPLETADA</t>
        </is>
      </c>
    </row>
    <row r="100">
      <c r="A100" s="7" t="inlineStr">
        <is>
          <t>sgc-2023-4</t>
        </is>
      </c>
      <c r="B100" s="7" t="n">
        <v>8</v>
      </c>
      <c r="C100" s="7" t="inlineStr">
        <is>
          <t>SGC</t>
        </is>
      </c>
      <c r="D100" s="7" t="inlineStr">
        <is>
          <t>2023</t>
        </is>
      </c>
      <c r="E100" s="7" t="n">
        <v>4</v>
      </c>
      <c r="F100" s="8" t="n">
        <v>46142</v>
      </c>
      <c r="G100" s="7" t="inlineStr">
        <is>
          <t>JOAN IMAYINNE GALVIS MORENO</t>
        </is>
      </c>
      <c r="H100" s="14" t="n">
        <v>2</v>
      </c>
      <c r="I100" s="15">
        <f>IF(H100="","",H100/2)</f>
        <v/>
      </c>
      <c r="J100" s="7">
        <f>IF(H100="",0,IF(SUMPRODUCT((Seguimientos!$A$2:$A$1013=A100)*(Seguimientos!$F$2:$F$1013=F100)*(Seguimientos!$B$2:$B$1013&gt;B100)*(Seguimientos!$H$2:$H$1013&lt;&gt;""))=0,1,0))</f>
        <v/>
      </c>
      <c r="K100" s="7">
        <f>A100&amp;"|"&amp;B100</f>
        <v/>
      </c>
      <c r="L100" s="13" t="inlineStr">
        <is>
          <t>ACTIVIDAD COMPLETADA</t>
        </is>
      </c>
    </row>
    <row r="101">
      <c r="A101" s="7" t="inlineStr">
        <is>
          <t>sgc-2023-4</t>
        </is>
      </c>
      <c r="B101" s="7" t="n">
        <v>9</v>
      </c>
      <c r="C101" s="7" t="inlineStr">
        <is>
          <t>SGC</t>
        </is>
      </c>
      <c r="D101" s="7" t="inlineStr">
        <is>
          <t>2023</t>
        </is>
      </c>
      <c r="E101" s="7" t="n">
        <v>4</v>
      </c>
      <c r="F101" s="8" t="n">
        <v>46203</v>
      </c>
      <c r="G101" s="7" t="inlineStr">
        <is>
          <t>JOAN IMAYINNE GALVIS MORENO</t>
        </is>
      </c>
      <c r="H101" s="14" t="n">
        <v>2</v>
      </c>
      <c r="I101" s="15">
        <f>IF(H101="","",H101/2)</f>
        <v/>
      </c>
      <c r="J101" s="7">
        <f>IF(H101="",0,IF(SUMPRODUCT((Seguimientos!$A$2:$A$1013=A101)*(Seguimientos!$F$2:$F$1013=F101)*(Seguimientos!$B$2:$B$1013&gt;B101)*(Seguimientos!$H$2:$H$1013&lt;&gt;""))=0,1,0))</f>
        <v/>
      </c>
      <c r="K101" s="7">
        <f>A101&amp;"|"&amp;B101</f>
        <v/>
      </c>
      <c r="L101" s="13" t="inlineStr">
        <is>
          <t>ACTIVIDAD COMPLETADA</t>
        </is>
      </c>
    </row>
    <row r="102">
      <c r="A102" s="7" t="inlineStr">
        <is>
          <t>sgc-2023-5</t>
        </is>
      </c>
      <c r="B102" s="7" t="n">
        <v>1</v>
      </c>
      <c r="C102" s="7" t="inlineStr">
        <is>
          <t>SGC</t>
        </is>
      </c>
      <c r="D102" s="7" t="inlineStr">
        <is>
          <t>2023</t>
        </is>
      </c>
      <c r="E102" s="7" t="n">
        <v>5</v>
      </c>
      <c r="F102" s="8" t="n">
        <v>45405</v>
      </c>
      <c r="G102" s="7" t="inlineStr">
        <is>
          <t>DANIEL EDUARDO SOTO BERNAL</t>
        </is>
      </c>
      <c r="H102" s="14" t="n">
        <v>0</v>
      </c>
      <c r="I102" s="15">
        <f>IF(H102="","",H102/2)</f>
        <v/>
      </c>
      <c r="J102" s="7">
        <f>IF(H102="",0,IF(SUMPRODUCT((Seguimientos!$A$2:$A$1013=A102)*(Seguimientos!$F$2:$F$1013=F102)*(Seguimientos!$B$2:$B$1013&gt;B102)*(Seguimientos!$H$2:$H$1013&lt;&gt;""))=0,1,0))</f>
        <v/>
      </c>
      <c r="K102" s="7">
        <f>A102&amp;"|"&amp;B102</f>
        <v/>
      </c>
      <c r="L102" s="13" t="inlineStr">
        <is>
          <t>El pasado 22 de marzo de 2024 se llevo a comisión de gestión los resultados obtenidos en la vigencia anterior, como decisión quedo la activación de la tercera línea de defensa a aquellos indicadores que incumplieran.</t>
        </is>
      </c>
    </row>
    <row r="103">
      <c r="A103" s="7" t="inlineStr">
        <is>
          <t>sgc-2023-5</t>
        </is>
      </c>
      <c r="B103" s="7" t="n">
        <v>2</v>
      </c>
      <c r="C103" s="7" t="inlineStr">
        <is>
          <t>SGC</t>
        </is>
      </c>
      <c r="D103" s="7" t="inlineStr">
        <is>
          <t>2023</t>
        </is>
      </c>
      <c r="E103" s="7" t="n">
        <v>5</v>
      </c>
      <c r="F103" s="8" t="n">
        <v>45497</v>
      </c>
      <c r="G103" s="7" t="inlineStr">
        <is>
          <t>DANIEL EDUARDO SOTO BERNAL</t>
        </is>
      </c>
      <c r="H103" s="14" t="n">
        <v>1</v>
      </c>
      <c r="I103" s="15">
        <f>IF(H103="","",H103/2)</f>
        <v/>
      </c>
      <c r="J103" s="7">
        <f>IF(H103="",0,IF(SUMPRODUCT((Seguimientos!$A$2:$A$1013=A103)*(Seguimientos!$F$2:$F$1013=F103)*(Seguimientos!$B$2:$B$1013&gt;B103)*(Seguimientos!$H$2:$H$1013&lt;&gt;""))=0,1,0))</f>
        <v/>
      </c>
      <c r="K103" s="7">
        <f>A103&amp;"|"&amp;B103</f>
        <v/>
      </c>
      <c r="L103" s="13" t="inlineStr">
        <is>
          <t>* RESPONSABLE: ISU PM#950: La comisión de gestión en sesión ordinaria llevada a cabo el día 22 de marzo de 2024 aprueba la inclusión de la no conformidad relacionada con el incumplimiento del indicador vinculación efectiva con la comunidad y el sector productivo, cuya meta es de 80 porcentaje y el resultado presentado en el IV trimestre de 2023 es del 12 porcentaje. * RESPONSABLE: EDUCACIÓN VIRTUAL PM#951: La comisión de gestión en sesión ordinaria llevada a cabo el día 22 de marzo de 2024 aprueba la inclusión de la no conformidad relacionada con el incumplimiento del indicador oportunidad en la atención de solicitudes en el CMA digital , cuya meta es de 90 porcentaje y el resultado presentado en el IV trimestre de 2023 es del 50 porcentaje. * RESPONSABLE: INSTITUTO DE POSGRADOS PM#952: La comisión de gestión en sesión ordinaria llevada a cabo el día 22 de marzo de 2024 aprueba la inclusión de la no conformidad relacionada con el incumplimiento del indicador relación profesor - estudiante (especializaciones y maestrías) cuya meta es de 100 porcentaje y el resultado presentado en el IV trimestre de 2023 es del 60 porcentaje. * RESPONSABLE: DOCUMENTAL PM# 953: La comisión de gestión en sesión ordinaria llevada a cabo el día 22 de marzo de 2024 aprueba la inclusión de la no conformidad relacionada con el incumplimiento del indicador cumplimiento en la digitalización de documento cuya meta es de 60 porcentaje y el resultado presentado en el IV trimestre de 2023 es del 15 porcentaje.</t>
        </is>
      </c>
    </row>
    <row r="104">
      <c r="A104" s="7" t="inlineStr">
        <is>
          <t>sgc-2023-5</t>
        </is>
      </c>
      <c r="B104" s="7" t="n">
        <v>3</v>
      </c>
      <c r="C104" s="7" t="inlineStr">
        <is>
          <t>SGC</t>
        </is>
      </c>
      <c r="D104" s="7" t="inlineStr">
        <is>
          <t>2023</t>
        </is>
      </c>
      <c r="E104" s="7" t="n">
        <v>5</v>
      </c>
      <c r="F104" s="8" t="n">
        <v>45583</v>
      </c>
      <c r="G104" s="7" t="inlineStr">
        <is>
          <t>DANIEL EDUARDO SOTO BERNAL</t>
        </is>
      </c>
      <c r="H104" s="14" t="n">
        <v>2</v>
      </c>
      <c r="I104" s="15">
        <f>IF(H104="","",H104/2)</f>
        <v/>
      </c>
      <c r="J104" s="7">
        <f>IF(H104="",0,IF(SUMPRODUCT((Seguimientos!$A$2:$A$1013=A104)*(Seguimientos!$F$2:$F$1013=F104)*(Seguimientos!$B$2:$B$1013&gt;B104)*(Seguimientos!$H$2:$H$1013&lt;&gt;""))=0,1,0))</f>
        <v/>
      </c>
      <c r="K104" s="7">
        <f>A104&amp;"|"&amp;B104</f>
        <v/>
      </c>
      <c r="L104" s="13" t="inlineStr">
        <is>
          <t>AVANCE PLANES DE MEJORAMIENTO PM # 950: 75% PM # 951: Estado Asignado PM # 952: Estado Asignado PM # 953: Estado Asignado El entregable relacionado a la Revisión por la Dirección fue activar la tercera línea de defensa, allí se crearon los planes de mejoramiento anteriormente mencionados, desde el área de Calidad se da por finalizado el tramite, toda vez que el seguimiento y cierre de los mismos corresponde a la tercera línea de defensa.</t>
        </is>
      </c>
    </row>
    <row r="105">
      <c r="A105" s="7" t="inlineStr">
        <is>
          <t>sgc-2023-5</t>
        </is>
      </c>
      <c r="B105" s="7" t="n">
        <v>4</v>
      </c>
      <c r="C105" s="7" t="inlineStr">
        <is>
          <t>SGC</t>
        </is>
      </c>
      <c r="D105" s="7" t="inlineStr">
        <is>
          <t>2023</t>
        </is>
      </c>
      <c r="E105" s="7" t="n">
        <v>5</v>
      </c>
      <c r="F105" s="8" t="n">
        <v>45777</v>
      </c>
      <c r="G105" s="7" t="inlineStr">
        <is>
          <t>DANIEL EDUARDO SOTO BERNAL</t>
        </is>
      </c>
      <c r="H105" s="14" t="n">
        <v>2</v>
      </c>
      <c r="I105" s="15">
        <f>IF(H105="","",H105/2)</f>
        <v/>
      </c>
      <c r="J105" s="7">
        <f>IF(H105="",0,IF(SUMPRODUCT((Seguimientos!$A$2:$A$1013=A105)*(Seguimientos!$F$2:$F$1013=F105)*(Seguimientos!$B$2:$B$1013&gt;B105)*(Seguimientos!$H$2:$H$1013&lt;&gt;""))=0,1,0))</f>
        <v/>
      </c>
      <c r="K105" s="7">
        <f>A105&amp;"|"&amp;B105</f>
        <v/>
      </c>
      <c r="L105" s="13" t="inlineStr">
        <is>
          <t>ACTIVIDAD COMPLETADA</t>
        </is>
      </c>
    </row>
    <row r="106">
      <c r="A106" s="7" t="inlineStr">
        <is>
          <t>sgc-2023-5</t>
        </is>
      </c>
      <c r="B106" s="7" t="n">
        <v>5</v>
      </c>
      <c r="C106" s="7" t="inlineStr">
        <is>
          <t>SGC</t>
        </is>
      </c>
      <c r="D106" s="7" t="inlineStr">
        <is>
          <t>2023</t>
        </is>
      </c>
      <c r="E106" s="7" t="n">
        <v>5</v>
      </c>
      <c r="F106" s="8" t="n">
        <v>45838</v>
      </c>
      <c r="G106" s="7" t="inlineStr">
        <is>
          <t>DANIEL EDUARDO SOTO BERNAL</t>
        </is>
      </c>
      <c r="H106" s="14" t="n">
        <v>2</v>
      </c>
      <c r="I106" s="15">
        <f>IF(H106="","",H106/2)</f>
        <v/>
      </c>
      <c r="J106" s="7">
        <f>IF(H106="",0,IF(SUMPRODUCT((Seguimientos!$A$2:$A$1013=A106)*(Seguimientos!$F$2:$F$1013=F106)*(Seguimientos!$B$2:$B$1013&gt;B106)*(Seguimientos!$H$2:$H$1013&lt;&gt;""))=0,1,0))</f>
        <v/>
      </c>
      <c r="K106" s="7">
        <f>A106&amp;"|"&amp;B106</f>
        <v/>
      </c>
      <c r="L106" s="13" t="inlineStr">
        <is>
          <t>ACTIVIDAD COMPLETADA</t>
        </is>
      </c>
    </row>
    <row r="107">
      <c r="A107" s="7" t="inlineStr">
        <is>
          <t>sgc-2023-5</t>
        </is>
      </c>
      <c r="B107" s="7" t="n">
        <v>6</v>
      </c>
      <c r="C107" s="7" t="inlineStr">
        <is>
          <t>SGC</t>
        </is>
      </c>
      <c r="D107" s="7" t="inlineStr">
        <is>
          <t>2023</t>
        </is>
      </c>
      <c r="E107" s="7" t="n">
        <v>5</v>
      </c>
      <c r="F107" s="8" t="n">
        <v>45930</v>
      </c>
      <c r="G107" s="7" t="inlineStr">
        <is>
          <t>JOAN IMAYINNE GALVIS MORENO</t>
        </is>
      </c>
      <c r="H107" s="14" t="n">
        <v>2</v>
      </c>
      <c r="I107" s="15">
        <f>IF(H107="","",H107/2)</f>
        <v/>
      </c>
      <c r="J107" s="7">
        <f>IF(H107="",0,IF(SUMPRODUCT((Seguimientos!$A$2:$A$1013=A107)*(Seguimientos!$F$2:$F$1013=F107)*(Seguimientos!$B$2:$B$1013&gt;B107)*(Seguimientos!$H$2:$H$1013&lt;&gt;""))=0,1,0))</f>
        <v/>
      </c>
      <c r="K107" s="7">
        <f>A107&amp;"|"&amp;B107</f>
        <v/>
      </c>
      <c r="L107" s="13" t="inlineStr">
        <is>
          <t>ACTIVIDAD COMPLETADA</t>
        </is>
      </c>
    </row>
    <row r="108">
      <c r="A108" s="7" t="inlineStr">
        <is>
          <t>sgc-2023-5</t>
        </is>
      </c>
      <c r="B108" s="7" t="n">
        <v>7</v>
      </c>
      <c r="C108" s="7" t="inlineStr">
        <is>
          <t>SGC</t>
        </is>
      </c>
      <c r="D108" s="7" t="inlineStr">
        <is>
          <t>2023</t>
        </is>
      </c>
      <c r="E108" s="7" t="n">
        <v>5</v>
      </c>
      <c r="F108" s="8" t="n">
        <v>46021</v>
      </c>
      <c r="G108" s="7" t="inlineStr">
        <is>
          <t>JOAN IMAYINNE GALVIS MORENO</t>
        </is>
      </c>
      <c r="H108" s="14" t="n">
        <v>2</v>
      </c>
      <c r="I108" s="15">
        <f>IF(H108="","",H108/2)</f>
        <v/>
      </c>
      <c r="J108" s="7">
        <f>IF(H108="",0,IF(SUMPRODUCT((Seguimientos!$A$2:$A$1013=A108)*(Seguimientos!$F$2:$F$1013=F108)*(Seguimientos!$B$2:$B$1013&gt;B108)*(Seguimientos!$H$2:$H$1013&lt;&gt;""))=0,1,0))</f>
        <v/>
      </c>
      <c r="K108" s="7">
        <f>A108&amp;"|"&amp;B108</f>
        <v/>
      </c>
      <c r="L108" s="13" t="inlineStr">
        <is>
          <t>ACTIVIDAD COMPLETADA</t>
        </is>
      </c>
    </row>
    <row r="109">
      <c r="A109" s="7" t="inlineStr">
        <is>
          <t>sgc-2023-5</t>
        </is>
      </c>
      <c r="B109" s="7" t="n">
        <v>8</v>
      </c>
      <c r="C109" s="7" t="inlineStr">
        <is>
          <t>SGC</t>
        </is>
      </c>
      <c r="D109" s="7" t="inlineStr">
        <is>
          <t>2023</t>
        </is>
      </c>
      <c r="E109" s="7" t="n">
        <v>5</v>
      </c>
      <c r="F109" s="8" t="n">
        <v>46142</v>
      </c>
      <c r="G109" s="7" t="inlineStr">
        <is>
          <t>JOAN IMAYINNE GALVIS MORENO</t>
        </is>
      </c>
      <c r="H109" s="14" t="n">
        <v>2</v>
      </c>
      <c r="I109" s="15">
        <f>IF(H109="","",H109/2)</f>
        <v/>
      </c>
      <c r="J109" s="7">
        <f>IF(H109="",0,IF(SUMPRODUCT((Seguimientos!$A$2:$A$1013=A109)*(Seguimientos!$F$2:$F$1013=F109)*(Seguimientos!$B$2:$B$1013&gt;B109)*(Seguimientos!$H$2:$H$1013&lt;&gt;""))=0,1,0))</f>
        <v/>
      </c>
      <c r="K109" s="7">
        <f>A109&amp;"|"&amp;B109</f>
        <v/>
      </c>
      <c r="L109" s="13" t="inlineStr">
        <is>
          <t>ACTIVIDAD COMPLETADA</t>
        </is>
      </c>
    </row>
    <row r="110">
      <c r="A110" s="7" t="inlineStr">
        <is>
          <t>sgc-2023-5</t>
        </is>
      </c>
      <c r="B110" s="7" t="n">
        <v>9</v>
      </c>
      <c r="C110" s="7" t="inlineStr">
        <is>
          <t>SGC</t>
        </is>
      </c>
      <c r="D110" s="7" t="inlineStr">
        <is>
          <t>2023</t>
        </is>
      </c>
      <c r="E110" s="7" t="n">
        <v>5</v>
      </c>
      <c r="F110" s="8" t="n">
        <v>46203</v>
      </c>
      <c r="G110" s="7" t="inlineStr">
        <is>
          <t>JOAN IMAYINNE GALVIS MORENO</t>
        </is>
      </c>
      <c r="H110" s="14" t="n">
        <v>2</v>
      </c>
      <c r="I110" s="15">
        <f>IF(H110="","",H110/2)</f>
        <v/>
      </c>
      <c r="J110" s="7">
        <f>IF(H110="",0,IF(SUMPRODUCT((Seguimientos!$A$2:$A$1013=A110)*(Seguimientos!$F$2:$F$1013=F110)*(Seguimientos!$B$2:$B$1013&gt;B110)*(Seguimientos!$H$2:$H$1013&lt;&gt;""))=0,1,0))</f>
        <v/>
      </c>
      <c r="K110" s="7">
        <f>A110&amp;"|"&amp;B110</f>
        <v/>
      </c>
      <c r="L110" s="13" t="inlineStr">
        <is>
          <t>ACTIVIDAD COMPLETADA</t>
        </is>
      </c>
    </row>
    <row r="111">
      <c r="A111" s="7" t="inlineStr">
        <is>
          <t>sgc-2023-6</t>
        </is>
      </c>
      <c r="B111" s="7" t="n">
        <v>1</v>
      </c>
      <c r="C111" s="7" t="inlineStr">
        <is>
          <t>SGC</t>
        </is>
      </c>
      <c r="D111" s="7" t="inlineStr">
        <is>
          <t>2023</t>
        </is>
      </c>
      <c r="E111" s="7" t="n">
        <v>6</v>
      </c>
      <c r="F111" s="8" t="n">
        <v>45405</v>
      </c>
      <c r="G111" s="7" t="inlineStr">
        <is>
          <t>DANIEL EDUARDO SOTO BERNAL</t>
        </is>
      </c>
      <c r="H111" s="14" t="n">
        <v>0</v>
      </c>
      <c r="I111" s="15">
        <f>IF(H111="","",H111/2)</f>
        <v/>
      </c>
      <c r="J111" s="7">
        <f>IF(H111="",0,IF(SUMPRODUCT((Seguimientos!$A$2:$A$1013=A111)*(Seguimientos!$F$2:$F$1013=F111)*(Seguimientos!$B$2:$B$1013&gt;B111)*(Seguimientos!$H$2:$H$1013&lt;&gt;""))=0,1,0))</f>
        <v/>
      </c>
      <c r="K111" s="7">
        <f>A111&amp;"|"&amp;B111</f>
        <v/>
      </c>
      <c r="L111" s="13" t="inlineStr">
        <is>
          <t>Actividad pendiente por cumplir, No soportan evidencia.</t>
        </is>
      </c>
    </row>
    <row r="112">
      <c r="A112" s="7" t="inlineStr">
        <is>
          <t>sgc-2023-6</t>
        </is>
      </c>
      <c r="B112" s="7" t="n">
        <v>2</v>
      </c>
      <c r="C112" s="7" t="inlineStr">
        <is>
          <t>SGC</t>
        </is>
      </c>
      <c r="D112" s="7" t="inlineStr">
        <is>
          <t>2023</t>
        </is>
      </c>
      <c r="E112" s="7" t="n">
        <v>6</v>
      </c>
      <c r="F112" s="8" t="n">
        <v>45497</v>
      </c>
      <c r="G112" s="7" t="inlineStr">
        <is>
          <t>DANIEL EDUARDO SOTO BERNAL</t>
        </is>
      </c>
      <c r="H112" s="14" t="n">
        <v>2</v>
      </c>
      <c r="I112" s="15">
        <f>IF(H112="","",H112/2)</f>
        <v/>
      </c>
      <c r="J112" s="7">
        <f>IF(H112="",0,IF(SUMPRODUCT((Seguimientos!$A$2:$A$1013=A112)*(Seguimientos!$F$2:$F$1013=F112)*(Seguimientos!$B$2:$B$1013&gt;B112)*(Seguimientos!$H$2:$H$1013&lt;&gt;""))=0,1,0))</f>
        <v/>
      </c>
      <c r="K112" s="7">
        <f>A112&amp;"|"&amp;B112</f>
        <v/>
      </c>
      <c r="L112" s="13" t="inlineStr">
        <is>
          <t>Se allega PESV actualizado durante la vigencia 2024, con el cual se logra mitigar el hallazgo identificado por parte del equipo auditor. Soporte: https://mailunicundiedu.sharepoint.com/:f:/s/GENERALIDADESRECURSOSFISICOS/Eh74Qm53BgBAiKIKYnoetp8BP0xcAi4_1SrbxIInBMSUhw?e=a695Ta</t>
        </is>
      </c>
    </row>
    <row r="113">
      <c r="A113" s="7" t="inlineStr">
        <is>
          <t>sgc-2023-6</t>
        </is>
      </c>
      <c r="B113" s="7" t="n">
        <v>3</v>
      </c>
      <c r="C113" s="7" t="inlineStr">
        <is>
          <t>SGC</t>
        </is>
      </c>
      <c r="D113" s="7" t="inlineStr">
        <is>
          <t>2023</t>
        </is>
      </c>
      <c r="E113" s="7" t="n">
        <v>6</v>
      </c>
      <c r="F113" s="8" t="n">
        <v>45583</v>
      </c>
      <c r="G113" s="7" t="inlineStr">
        <is>
          <t>DANIEL EDUARDO SOTO BERNAL</t>
        </is>
      </c>
      <c r="H113" s="14" t="n">
        <v>2</v>
      </c>
      <c r="I113" s="15">
        <f>IF(H113="","",H113/2)</f>
        <v/>
      </c>
      <c r="J113" s="7">
        <f>IF(H113="",0,IF(SUMPRODUCT((Seguimientos!$A$2:$A$1013=A113)*(Seguimientos!$F$2:$F$1013=F113)*(Seguimientos!$B$2:$B$1013&gt;B113)*(Seguimientos!$H$2:$H$1013&lt;&gt;""))=0,1,0))</f>
        <v/>
      </c>
      <c r="K113" s="7">
        <f>A113&amp;"|"&amp;B113</f>
        <v/>
      </c>
      <c r="L113" s="13" t="inlineStr">
        <is>
          <t>ACTIVIDAD COMPLETADA</t>
        </is>
      </c>
    </row>
    <row r="114">
      <c r="A114" s="7" t="inlineStr">
        <is>
          <t>sgc-2023-6</t>
        </is>
      </c>
      <c r="B114" s="7" t="n">
        <v>4</v>
      </c>
      <c r="C114" s="7" t="inlineStr">
        <is>
          <t>SGC</t>
        </is>
      </c>
      <c r="D114" s="7" t="inlineStr">
        <is>
          <t>2023</t>
        </is>
      </c>
      <c r="E114" s="7" t="n">
        <v>6</v>
      </c>
      <c r="F114" s="8" t="n">
        <v>45777</v>
      </c>
      <c r="G114" s="7" t="inlineStr">
        <is>
          <t>DANIEL EDUARDO SOTO BERNAL</t>
        </is>
      </c>
      <c r="H114" s="14" t="n">
        <v>2</v>
      </c>
      <c r="I114" s="15">
        <f>IF(H114="","",H114/2)</f>
        <v/>
      </c>
      <c r="J114" s="7">
        <f>IF(H114="",0,IF(SUMPRODUCT((Seguimientos!$A$2:$A$1013=A114)*(Seguimientos!$F$2:$F$1013=F114)*(Seguimientos!$B$2:$B$1013&gt;B114)*(Seguimientos!$H$2:$H$1013&lt;&gt;""))=0,1,0))</f>
        <v/>
      </c>
      <c r="K114" s="7">
        <f>A114&amp;"|"&amp;B114</f>
        <v/>
      </c>
      <c r="L114" s="13" t="inlineStr">
        <is>
          <t>ACTIVIDAD COMPLETADA</t>
        </is>
      </c>
    </row>
    <row r="115">
      <c r="A115" s="7" t="inlineStr">
        <is>
          <t>sgc-2023-6</t>
        </is>
      </c>
      <c r="B115" s="7" t="n">
        <v>5</v>
      </c>
      <c r="C115" s="7" t="inlineStr">
        <is>
          <t>SGC</t>
        </is>
      </c>
      <c r="D115" s="7" t="inlineStr">
        <is>
          <t>2023</t>
        </is>
      </c>
      <c r="E115" s="7" t="n">
        <v>6</v>
      </c>
      <c r="F115" s="8" t="n">
        <v>45838</v>
      </c>
      <c r="G115" s="7" t="inlineStr">
        <is>
          <t>DANIEL EDUARDO SOTO BERNAL</t>
        </is>
      </c>
      <c r="H115" s="14" t="n">
        <v>2</v>
      </c>
      <c r="I115" s="15">
        <f>IF(H115="","",H115/2)</f>
        <v/>
      </c>
      <c r="J115" s="7">
        <f>IF(H115="",0,IF(SUMPRODUCT((Seguimientos!$A$2:$A$1013=A115)*(Seguimientos!$F$2:$F$1013=F115)*(Seguimientos!$B$2:$B$1013&gt;B115)*(Seguimientos!$H$2:$H$1013&lt;&gt;""))=0,1,0))</f>
        <v/>
      </c>
      <c r="K115" s="7">
        <f>A115&amp;"|"&amp;B115</f>
        <v/>
      </c>
      <c r="L115" s="13" t="inlineStr">
        <is>
          <t>ACTIVIDAD COMPLETADA</t>
        </is>
      </c>
    </row>
    <row r="116">
      <c r="A116" s="7" t="inlineStr">
        <is>
          <t>sgc-2023-6</t>
        </is>
      </c>
      <c r="B116" s="7" t="n">
        <v>6</v>
      </c>
      <c r="C116" s="7" t="inlineStr">
        <is>
          <t>SGC</t>
        </is>
      </c>
      <c r="D116" s="7" t="inlineStr">
        <is>
          <t>2023</t>
        </is>
      </c>
      <c r="E116" s="7" t="n">
        <v>6</v>
      </c>
      <c r="F116" s="8" t="n">
        <v>45930</v>
      </c>
      <c r="G116" s="7" t="inlineStr">
        <is>
          <t>JOAN IMAYINNE GALVIS MORENO</t>
        </is>
      </c>
      <c r="H116" s="14" t="n">
        <v>2</v>
      </c>
      <c r="I116" s="15">
        <f>IF(H116="","",H116/2)</f>
        <v/>
      </c>
      <c r="J116" s="7">
        <f>IF(H116="",0,IF(SUMPRODUCT((Seguimientos!$A$2:$A$1013=A116)*(Seguimientos!$F$2:$F$1013=F116)*(Seguimientos!$B$2:$B$1013&gt;B116)*(Seguimientos!$H$2:$H$1013&lt;&gt;""))=0,1,0))</f>
        <v/>
      </c>
      <c r="K116" s="7">
        <f>A116&amp;"|"&amp;B116</f>
        <v/>
      </c>
      <c r="L116" s="13" t="inlineStr">
        <is>
          <t>ACTIVIDAD COMPLETADA</t>
        </is>
      </c>
    </row>
    <row r="117">
      <c r="A117" s="7" t="inlineStr">
        <is>
          <t>sgc-2023-6</t>
        </is>
      </c>
      <c r="B117" s="7" t="n">
        <v>7</v>
      </c>
      <c r="C117" s="7" t="inlineStr">
        <is>
          <t>SGC</t>
        </is>
      </c>
      <c r="D117" s="7" t="inlineStr">
        <is>
          <t>2023</t>
        </is>
      </c>
      <c r="E117" s="7" t="n">
        <v>6</v>
      </c>
      <c r="F117" s="8" t="n">
        <v>46021</v>
      </c>
      <c r="G117" s="7" t="inlineStr">
        <is>
          <t>JOAN IMAYINNE GALVIS MORENO</t>
        </is>
      </c>
      <c r="H117" s="14" t="n">
        <v>2</v>
      </c>
      <c r="I117" s="15">
        <f>IF(H117="","",H117/2)</f>
        <v/>
      </c>
      <c r="J117" s="7">
        <f>IF(H117="",0,IF(SUMPRODUCT((Seguimientos!$A$2:$A$1013=A117)*(Seguimientos!$F$2:$F$1013=F117)*(Seguimientos!$B$2:$B$1013&gt;B117)*(Seguimientos!$H$2:$H$1013&lt;&gt;""))=0,1,0))</f>
        <v/>
      </c>
      <c r="K117" s="7">
        <f>A117&amp;"|"&amp;B117</f>
        <v/>
      </c>
      <c r="L117" s="13" t="inlineStr">
        <is>
          <t>ACTIVIDAD COMPLETADA</t>
        </is>
      </c>
    </row>
    <row r="118">
      <c r="A118" s="7" t="inlineStr">
        <is>
          <t>sgc-2023-6</t>
        </is>
      </c>
      <c r="B118" s="7" t="n">
        <v>8</v>
      </c>
      <c r="C118" s="7" t="inlineStr">
        <is>
          <t>SGC</t>
        </is>
      </c>
      <c r="D118" s="7" t="inlineStr">
        <is>
          <t>2023</t>
        </is>
      </c>
      <c r="E118" s="7" t="n">
        <v>6</v>
      </c>
      <c r="F118" s="8" t="n">
        <v>46142</v>
      </c>
      <c r="G118" s="7" t="inlineStr">
        <is>
          <t>JOAN IMAYINNE GALVIS MORENO</t>
        </is>
      </c>
      <c r="H118" s="14" t="n">
        <v>2</v>
      </c>
      <c r="I118" s="15">
        <f>IF(H118="","",H118/2)</f>
        <v/>
      </c>
      <c r="J118" s="7">
        <f>IF(H118="",0,IF(SUMPRODUCT((Seguimientos!$A$2:$A$1013=A118)*(Seguimientos!$F$2:$F$1013=F118)*(Seguimientos!$B$2:$B$1013&gt;B118)*(Seguimientos!$H$2:$H$1013&lt;&gt;""))=0,1,0))</f>
        <v/>
      </c>
      <c r="K118" s="7">
        <f>A118&amp;"|"&amp;B118</f>
        <v/>
      </c>
      <c r="L118" s="13" t="inlineStr">
        <is>
          <t>ACTIVIDAD COMPLETADA</t>
        </is>
      </c>
    </row>
    <row r="119">
      <c r="A119" s="7" t="inlineStr">
        <is>
          <t>sgc-2023-6</t>
        </is>
      </c>
      <c r="B119" s="7" t="n">
        <v>9</v>
      </c>
      <c r="C119" s="7" t="inlineStr">
        <is>
          <t>SGC</t>
        </is>
      </c>
      <c r="D119" s="7" t="inlineStr">
        <is>
          <t>2023</t>
        </is>
      </c>
      <c r="E119" s="7" t="n">
        <v>6</v>
      </c>
      <c r="F119" s="8" t="n">
        <v>46203</v>
      </c>
      <c r="G119" s="7" t="inlineStr">
        <is>
          <t>JOAN IMAYINNE GALVIS MORENO</t>
        </is>
      </c>
      <c r="H119" s="14" t="n">
        <v>2</v>
      </c>
      <c r="I119" s="15">
        <f>IF(H119="","",H119/2)</f>
        <v/>
      </c>
      <c r="J119" s="7">
        <f>IF(H119="",0,IF(SUMPRODUCT((Seguimientos!$A$2:$A$1013=A119)*(Seguimientos!$F$2:$F$1013=F119)*(Seguimientos!$B$2:$B$1013&gt;B119)*(Seguimientos!$H$2:$H$1013&lt;&gt;""))=0,1,0))</f>
        <v/>
      </c>
      <c r="K119" s="7">
        <f>A119&amp;"|"&amp;B119</f>
        <v/>
      </c>
      <c r="L119" s="13" t="inlineStr">
        <is>
          <t>ACTIVIDAD COMPLETADA</t>
        </is>
      </c>
    </row>
    <row r="120">
      <c r="A120" s="7" t="inlineStr">
        <is>
          <t>sgc-2023-7</t>
        </is>
      </c>
      <c r="B120" s="7" t="n">
        <v>1</v>
      </c>
      <c r="C120" s="7" t="inlineStr">
        <is>
          <t>SGC</t>
        </is>
      </c>
      <c r="D120" s="7" t="inlineStr">
        <is>
          <t>2023</t>
        </is>
      </c>
      <c r="E120" s="7" t="n">
        <v>7</v>
      </c>
      <c r="F120" s="8" t="n">
        <v>45405</v>
      </c>
      <c r="G120" s="7" t="inlineStr">
        <is>
          <t>DANIEL EDUARDO SOTO BERNAL</t>
        </is>
      </c>
      <c r="H120" s="14" t="n">
        <v>0</v>
      </c>
      <c r="I120" s="15">
        <f>IF(H120="","",H120/2)</f>
        <v/>
      </c>
      <c r="J120" s="7">
        <f>IF(H120="",0,IF(SUMPRODUCT((Seguimientos!$A$2:$A$1013=A120)*(Seguimientos!$F$2:$F$1013=F120)*(Seguimientos!$B$2:$B$1013&gt;B120)*(Seguimientos!$H$2:$H$1013&lt;&gt;""))=0,1,0))</f>
        <v/>
      </c>
      <c r="K120" s="7">
        <f>A120&amp;"|"&amp;B120</f>
        <v/>
      </c>
      <c r="L120" s="13" t="inlineStr">
        <is>
          <t>Actividad pendiente por cumplir, No soportan evidencia.</t>
        </is>
      </c>
    </row>
    <row r="121">
      <c r="A121" s="7" t="inlineStr">
        <is>
          <t>sgc-2023-7</t>
        </is>
      </c>
      <c r="B121" s="7" t="n">
        <v>2</v>
      </c>
      <c r="C121" s="7" t="inlineStr">
        <is>
          <t>SGC</t>
        </is>
      </c>
      <c r="D121" s="7" t="inlineStr">
        <is>
          <t>2023</t>
        </is>
      </c>
      <c r="E121" s="7" t="n">
        <v>7</v>
      </c>
      <c r="F121" s="8" t="n">
        <v>45497</v>
      </c>
      <c r="G121" s="7" t="inlineStr">
        <is>
          <t>DANIEL EDUARDO SOTO BERNAL</t>
        </is>
      </c>
      <c r="H121" s="14" t="n">
        <v>0.5</v>
      </c>
      <c r="I121" s="15">
        <f>IF(H121="","",H121/2)</f>
        <v/>
      </c>
      <c r="J121" s="7">
        <f>IF(H121="",0,IF(SUMPRODUCT((Seguimientos!$A$2:$A$1013=A121)*(Seguimientos!$F$2:$F$1013=F121)*(Seguimientos!$B$2:$B$1013&gt;B121)*(Seguimientos!$H$2:$H$1013&lt;&gt;""))=0,1,0))</f>
        <v/>
      </c>
      <c r="K121" s="7">
        <f>A121&amp;"|"&amp;B121</f>
        <v/>
      </c>
      <c r="L121" s="13" t="inlineStr">
        <is>
          <t>Los resultados de la encuesta de satisfacción fueron compartidos por medio de correo electrónico a los diferentes procesos.</t>
        </is>
      </c>
    </row>
    <row r="122">
      <c r="A122" s="7" t="inlineStr">
        <is>
          <t>sgc-2023-7</t>
        </is>
      </c>
      <c r="B122" s="7" t="n">
        <v>3</v>
      </c>
      <c r="C122" s="7" t="inlineStr">
        <is>
          <t>SGC</t>
        </is>
      </c>
      <c r="D122" s="7" t="inlineStr">
        <is>
          <t>2023</t>
        </is>
      </c>
      <c r="E122" s="7" t="n">
        <v>7</v>
      </c>
      <c r="F122" s="8" t="n">
        <v>45583</v>
      </c>
      <c r="G122" s="7" t="inlineStr">
        <is>
          <t>DANIEL EDUARDO SOTO BERNAL</t>
        </is>
      </c>
      <c r="H122" s="14" t="n">
        <v>2</v>
      </c>
      <c r="I122" s="15">
        <f>IF(H122="","",H122/2)</f>
        <v/>
      </c>
      <c r="J122" s="7">
        <f>IF(H122="",0,IF(SUMPRODUCT((Seguimientos!$A$2:$A$1013=A122)*(Seguimientos!$F$2:$F$1013=F122)*(Seguimientos!$B$2:$B$1013&gt;B122)*(Seguimientos!$H$2:$H$1013&lt;&gt;""))=0,1,0))</f>
        <v/>
      </c>
      <c r="K122" s="7">
        <f>A122&amp;"|"&amp;B122</f>
        <v/>
      </c>
      <c r="L122" s="13" t="inlineStr">
        <is>
          <t>Los miembros de la Comisión de Desempeño Institucional aprobaron que en caso de que algún proceso no alcance el nivel de satisfacción esperado (80%), será responsabilidad de dicha área documentar un Plan de Mejoramiento, cuyo seguimiento estará a cargo de la Dirección de Control Interno. La dirección de Planeación solo tiene como función aplicar la encuesta de satisfacción de manera semestral y presentar los resultados. Se tienen los siguientes planes de mejoramiento derivados de las encuestas de satisfacción 980-981-982-983-984-985-986-987-988-989-990-991.</t>
        </is>
      </c>
    </row>
    <row r="123">
      <c r="A123" s="7" t="inlineStr">
        <is>
          <t>sgc-2023-7</t>
        </is>
      </c>
      <c r="B123" s="7" t="n">
        <v>4</v>
      </c>
      <c r="C123" s="7" t="inlineStr">
        <is>
          <t>SGC</t>
        </is>
      </c>
      <c r="D123" s="7" t="inlineStr">
        <is>
          <t>2023</t>
        </is>
      </c>
      <c r="E123" s="7" t="n">
        <v>7</v>
      </c>
      <c r="F123" s="8" t="n">
        <v>45777</v>
      </c>
      <c r="G123" s="7" t="inlineStr">
        <is>
          <t>DANIEL EDUARDO SOTO BERNAL</t>
        </is>
      </c>
      <c r="H123" s="14" t="n">
        <v>2</v>
      </c>
      <c r="I123" s="15">
        <f>IF(H123="","",H123/2)</f>
        <v/>
      </c>
      <c r="J123" s="7">
        <f>IF(H123="",0,IF(SUMPRODUCT((Seguimientos!$A$2:$A$1013=A123)*(Seguimientos!$F$2:$F$1013=F123)*(Seguimientos!$B$2:$B$1013&gt;B123)*(Seguimientos!$H$2:$H$1013&lt;&gt;""))=0,1,0))</f>
        <v/>
      </c>
      <c r="K123" s="7">
        <f>A123&amp;"|"&amp;B123</f>
        <v/>
      </c>
      <c r="L123" s="13" t="inlineStr">
        <is>
          <t>ACTIVIDAD COMPLETADA</t>
        </is>
      </c>
    </row>
    <row r="124">
      <c r="A124" s="7" t="inlineStr">
        <is>
          <t>sgc-2023-7</t>
        </is>
      </c>
      <c r="B124" s="7" t="n">
        <v>5</v>
      </c>
      <c r="C124" s="7" t="inlineStr">
        <is>
          <t>SGC</t>
        </is>
      </c>
      <c r="D124" s="7" t="inlineStr">
        <is>
          <t>2023</t>
        </is>
      </c>
      <c r="E124" s="7" t="n">
        <v>7</v>
      </c>
      <c r="F124" s="8" t="n">
        <v>45838</v>
      </c>
      <c r="G124" s="7" t="inlineStr">
        <is>
          <t>DANIEL EDUARDO SOTO BERNAL</t>
        </is>
      </c>
      <c r="H124" s="14" t="n">
        <v>2</v>
      </c>
      <c r="I124" s="15">
        <f>IF(H124="","",H124/2)</f>
        <v/>
      </c>
      <c r="J124" s="7">
        <f>IF(H124="",0,IF(SUMPRODUCT((Seguimientos!$A$2:$A$1013=A124)*(Seguimientos!$F$2:$F$1013=F124)*(Seguimientos!$B$2:$B$1013&gt;B124)*(Seguimientos!$H$2:$H$1013&lt;&gt;""))=0,1,0))</f>
        <v/>
      </c>
      <c r="K124" s="7">
        <f>A124&amp;"|"&amp;B124</f>
        <v/>
      </c>
      <c r="L124" s="13" t="inlineStr">
        <is>
          <t>ACTIVIDAD COMPLETADA</t>
        </is>
      </c>
    </row>
    <row r="125">
      <c r="A125" s="7" t="inlineStr">
        <is>
          <t>sgc-2023-7</t>
        </is>
      </c>
      <c r="B125" s="7" t="n">
        <v>6</v>
      </c>
      <c r="C125" s="7" t="inlineStr">
        <is>
          <t>SGC</t>
        </is>
      </c>
      <c r="D125" s="7" t="inlineStr">
        <is>
          <t>2023</t>
        </is>
      </c>
      <c r="E125" s="7" t="n">
        <v>7</v>
      </c>
      <c r="F125" s="8" t="n">
        <v>45930</v>
      </c>
      <c r="G125" s="7" t="inlineStr">
        <is>
          <t>JOAN IMAYINNE GALVIS MORENO</t>
        </is>
      </c>
      <c r="H125" s="14" t="n">
        <v>2</v>
      </c>
      <c r="I125" s="15">
        <f>IF(H125="","",H125/2)</f>
        <v/>
      </c>
      <c r="J125" s="7">
        <f>IF(H125="",0,IF(SUMPRODUCT((Seguimientos!$A$2:$A$1013=A125)*(Seguimientos!$F$2:$F$1013=F125)*(Seguimientos!$B$2:$B$1013&gt;B125)*(Seguimientos!$H$2:$H$1013&lt;&gt;""))=0,1,0))</f>
        <v/>
      </c>
      <c r="K125" s="7">
        <f>A125&amp;"|"&amp;B125</f>
        <v/>
      </c>
      <c r="L125" s="13" t="inlineStr">
        <is>
          <t>ACTIVIDAD COMPLETADA</t>
        </is>
      </c>
    </row>
    <row r="126">
      <c r="A126" s="7" t="inlineStr">
        <is>
          <t>sgc-2023-7</t>
        </is>
      </c>
      <c r="B126" s="7" t="n">
        <v>7</v>
      </c>
      <c r="C126" s="7" t="inlineStr">
        <is>
          <t>SGC</t>
        </is>
      </c>
      <c r="D126" s="7" t="inlineStr">
        <is>
          <t>2023</t>
        </is>
      </c>
      <c r="E126" s="7" t="n">
        <v>7</v>
      </c>
      <c r="F126" s="8" t="n">
        <v>46021</v>
      </c>
      <c r="G126" s="7" t="inlineStr">
        <is>
          <t>JOAN IMAYINNE GALVIS MORENO</t>
        </is>
      </c>
      <c r="H126" s="14" t="n">
        <v>2</v>
      </c>
      <c r="I126" s="15">
        <f>IF(H126="","",H126/2)</f>
        <v/>
      </c>
      <c r="J126" s="7">
        <f>IF(H126="",0,IF(SUMPRODUCT((Seguimientos!$A$2:$A$1013=A126)*(Seguimientos!$F$2:$F$1013=F126)*(Seguimientos!$B$2:$B$1013&gt;B126)*(Seguimientos!$H$2:$H$1013&lt;&gt;""))=0,1,0))</f>
        <v/>
      </c>
      <c r="K126" s="7">
        <f>A126&amp;"|"&amp;B126</f>
        <v/>
      </c>
      <c r="L126" s="13" t="inlineStr">
        <is>
          <t>ACTIVIDAD COMPLETADA</t>
        </is>
      </c>
    </row>
    <row r="127">
      <c r="A127" s="7" t="inlineStr">
        <is>
          <t>sgc-2023-7</t>
        </is>
      </c>
      <c r="B127" s="7" t="n">
        <v>8</v>
      </c>
      <c r="C127" s="7" t="inlineStr">
        <is>
          <t>SGC</t>
        </is>
      </c>
      <c r="D127" s="7" t="inlineStr">
        <is>
          <t>2023</t>
        </is>
      </c>
      <c r="E127" s="7" t="n">
        <v>7</v>
      </c>
      <c r="F127" s="8" t="n">
        <v>46142</v>
      </c>
      <c r="G127" s="7" t="inlineStr">
        <is>
          <t>JOAN IMAYINNE GALVIS MORENO</t>
        </is>
      </c>
      <c r="H127" s="14" t="n">
        <v>2</v>
      </c>
      <c r="I127" s="15">
        <f>IF(H127="","",H127/2)</f>
        <v/>
      </c>
      <c r="J127" s="7">
        <f>IF(H127="",0,IF(SUMPRODUCT((Seguimientos!$A$2:$A$1013=A127)*(Seguimientos!$F$2:$F$1013=F127)*(Seguimientos!$B$2:$B$1013&gt;B127)*(Seguimientos!$H$2:$H$1013&lt;&gt;""))=0,1,0))</f>
        <v/>
      </c>
      <c r="K127" s="7">
        <f>A127&amp;"|"&amp;B127</f>
        <v/>
      </c>
      <c r="L127" s="13" t="inlineStr">
        <is>
          <t>ACTIVIDAD COMPLETADA</t>
        </is>
      </c>
    </row>
    <row r="128">
      <c r="A128" s="7" t="inlineStr">
        <is>
          <t>sgc-2023-7</t>
        </is>
      </c>
      <c r="B128" s="7" t="n">
        <v>9</v>
      </c>
      <c r="C128" s="7" t="inlineStr">
        <is>
          <t>SGC</t>
        </is>
      </c>
      <c r="D128" s="7" t="inlineStr">
        <is>
          <t>2023</t>
        </is>
      </c>
      <c r="E128" s="7" t="n">
        <v>7</v>
      </c>
      <c r="F128" s="8" t="n">
        <v>46203</v>
      </c>
      <c r="G128" s="7" t="inlineStr">
        <is>
          <t>JOAN IMAYINNE GALVIS MORENO</t>
        </is>
      </c>
      <c r="H128" s="14" t="n">
        <v>2</v>
      </c>
      <c r="I128" s="15">
        <f>IF(H128="","",H128/2)</f>
        <v/>
      </c>
      <c r="J128" s="7">
        <f>IF(H128="",0,IF(SUMPRODUCT((Seguimientos!$A$2:$A$1013=A128)*(Seguimientos!$F$2:$F$1013=F128)*(Seguimientos!$B$2:$B$1013&gt;B128)*(Seguimientos!$H$2:$H$1013&lt;&gt;""))=0,1,0))</f>
        <v/>
      </c>
      <c r="K128" s="7">
        <f>A128&amp;"|"&amp;B128</f>
        <v/>
      </c>
      <c r="L128" s="13" t="inlineStr">
        <is>
          <t>ACTIVIDAD COMPLETADA</t>
        </is>
      </c>
    </row>
    <row r="129">
      <c r="A129" s="7" t="inlineStr">
        <is>
          <t>sgc-2023-8</t>
        </is>
      </c>
      <c r="B129" s="7" t="n">
        <v>1</v>
      </c>
      <c r="C129" s="7" t="inlineStr">
        <is>
          <t>SGC</t>
        </is>
      </c>
      <c r="D129" s="7" t="inlineStr">
        <is>
          <t>2023</t>
        </is>
      </c>
      <c r="E129" s="7" t="n">
        <v>8</v>
      </c>
      <c r="F129" s="8" t="n">
        <v>45405</v>
      </c>
      <c r="G129" s="7" t="inlineStr">
        <is>
          <t>DANIEL EDUARDO SOTO BERNAL</t>
        </is>
      </c>
      <c r="H129" s="14" t="n">
        <v>0</v>
      </c>
      <c r="I129" s="15">
        <f>IF(H129="","",H129/2)</f>
        <v/>
      </c>
      <c r="J129" s="7">
        <f>IF(H129="",0,IF(SUMPRODUCT((Seguimientos!$A$2:$A$1013=A129)*(Seguimientos!$F$2:$F$1013=F129)*(Seguimientos!$B$2:$B$1013&gt;B129)*(Seguimientos!$H$2:$H$1013&lt;&gt;""))=0,1,0))</f>
        <v/>
      </c>
      <c r="K129" s="7">
        <f>A129&amp;"|"&amp;B129</f>
        <v/>
      </c>
      <c r="L129" s="13" t="inlineStr">
        <is>
          <t>Actividad pendiente por cumplir, No soportan evidencia.</t>
        </is>
      </c>
    </row>
    <row r="130">
      <c r="A130" s="7" t="inlineStr">
        <is>
          <t>sgc-2023-8</t>
        </is>
      </c>
      <c r="B130" s="7" t="n">
        <v>2</v>
      </c>
      <c r="C130" s="7" t="inlineStr">
        <is>
          <t>SGC</t>
        </is>
      </c>
      <c r="D130" s="7" t="inlineStr">
        <is>
          <t>2023</t>
        </is>
      </c>
      <c r="E130" s="7" t="n">
        <v>8</v>
      </c>
      <c r="F130" s="8" t="n">
        <v>45497</v>
      </c>
      <c r="G130" s="7" t="inlineStr">
        <is>
          <t>DANIEL EDUARDO SOTO BERNAL</t>
        </is>
      </c>
      <c r="H130" s="14" t="n">
        <v>1</v>
      </c>
      <c r="I130" s="15">
        <f>IF(H130="","",H130/2)</f>
        <v/>
      </c>
      <c r="J130" s="7">
        <f>IF(H130="",0,IF(SUMPRODUCT((Seguimientos!$A$2:$A$1013=A130)*(Seguimientos!$F$2:$F$1013=F130)*(Seguimientos!$B$2:$B$1013&gt;B130)*(Seguimientos!$H$2:$H$1013&lt;&gt;""))=0,1,0))</f>
        <v/>
      </c>
      <c r="K130" s="7">
        <f>A130&amp;"|"&amp;B130</f>
        <v/>
      </c>
      <c r="L130" s="13" t="inlineStr">
        <is>
          <t>Se adjunta el informe de cierre de los objetivos establecidos en la Resolución 096 de 2021, a corte diciembre 2023 el cual esta pendiente para presentar en comité SAC del segundo semestre del 2024.</t>
        </is>
      </c>
    </row>
    <row r="131">
      <c r="A131" s="7" t="inlineStr">
        <is>
          <t>sgc-2023-8</t>
        </is>
      </c>
      <c r="B131" s="7" t="n">
        <v>3</v>
      </c>
      <c r="C131" s="7" t="inlineStr">
        <is>
          <t>SGC</t>
        </is>
      </c>
      <c r="D131" s="7" t="inlineStr">
        <is>
          <t>2023</t>
        </is>
      </c>
      <c r="E131" s="7" t="n">
        <v>8</v>
      </c>
      <c r="F131" s="8" t="n">
        <v>45583</v>
      </c>
      <c r="G131" s="7" t="inlineStr">
        <is>
          <t>DANIEL EDUARDO SOTO BERNAL</t>
        </is>
      </c>
      <c r="H131" s="14" t="n">
        <v>1</v>
      </c>
      <c r="I131" s="15">
        <f>IF(H131="","",H131/2)</f>
        <v/>
      </c>
      <c r="J131" s="7">
        <f>IF(H131="",0,IF(SUMPRODUCT((Seguimientos!$A$2:$A$1013=A131)*(Seguimientos!$F$2:$F$1013=F131)*(Seguimientos!$B$2:$B$1013&gt;B131)*(Seguimientos!$H$2:$H$1013&lt;&gt;""))=0,1,0))</f>
        <v/>
      </c>
      <c r="K131" s="7">
        <f>A131&amp;"|"&amp;B131</f>
        <v/>
      </c>
      <c r="L131" s="13" t="inlineStr">
        <is>
          <t>Se adjunta el informe de cierre de los objetivos establecidos en la Resolución 096 de 2021, a corte diciembre 2023 el cual está pendiente para presentar en comité SAC del segundo semestre del 2024. A la fecha no se ha programado sesión de comité SAC para solicitar el punto.</t>
        </is>
      </c>
    </row>
    <row r="132">
      <c r="A132" s="7" t="inlineStr">
        <is>
          <t>sgc-2023-8</t>
        </is>
      </c>
      <c r="B132" s="7" t="n">
        <v>4</v>
      </c>
      <c r="C132" s="7" t="inlineStr">
        <is>
          <t>SGC</t>
        </is>
      </c>
      <c r="D132" s="7" t="inlineStr">
        <is>
          <t>2023</t>
        </is>
      </c>
      <c r="E132" s="7" t="n">
        <v>8</v>
      </c>
      <c r="F132" s="8" t="n">
        <v>45777</v>
      </c>
      <c r="G132" s="7" t="inlineStr">
        <is>
          <t>DANIEL EDUARDO SOTO BERNAL</t>
        </is>
      </c>
      <c r="H132" s="14" t="n">
        <v>1</v>
      </c>
      <c r="I132" s="15">
        <f>IF(H132="","",H132/2)</f>
        <v/>
      </c>
      <c r="J132" s="7">
        <f>IF(H132="",0,IF(SUMPRODUCT((Seguimientos!$A$2:$A$1013=A132)*(Seguimientos!$F$2:$F$1013=F132)*(Seguimientos!$B$2:$B$1013&gt;B132)*(Seguimientos!$H$2:$H$1013&lt;&gt;""))=0,1,0))</f>
        <v/>
      </c>
      <c r="K132" s="7">
        <f>A132&amp;"|"&amp;B132</f>
        <v/>
      </c>
      <c r="L132" s="13" t="inlineStr">
        <is>
          <t>Actividad pendiente por cumplir, No soportan evidencia.</t>
        </is>
      </c>
    </row>
    <row r="133">
      <c r="A133" s="7" t="inlineStr">
        <is>
          <t>sgc-2023-8</t>
        </is>
      </c>
      <c r="B133" s="7" t="n">
        <v>5</v>
      </c>
      <c r="C133" s="7" t="inlineStr">
        <is>
          <t>SGC</t>
        </is>
      </c>
      <c r="D133" s="7" t="inlineStr">
        <is>
          <t>2023</t>
        </is>
      </c>
      <c r="E133" s="7" t="n">
        <v>8</v>
      </c>
      <c r="F133" s="8" t="n">
        <v>45838</v>
      </c>
      <c r="G133" s="7" t="inlineStr">
        <is>
          <t>DANIEL EDUARDO SOTO BERNAL</t>
        </is>
      </c>
      <c r="H133" s="14" t="n">
        <v>1</v>
      </c>
      <c r="I133" s="15">
        <f>IF(H133="","",H133/2)</f>
        <v/>
      </c>
      <c r="J133" s="7">
        <f>IF(H133="",0,IF(SUMPRODUCT((Seguimientos!$A$2:$A$1013=A133)*(Seguimientos!$F$2:$F$1013=F133)*(Seguimientos!$B$2:$B$1013&gt;B133)*(Seguimientos!$H$2:$H$1013&lt;&gt;""))=0,1,0))</f>
        <v/>
      </c>
      <c r="K133" s="7">
        <f>A133&amp;"|"&amp;B133</f>
        <v/>
      </c>
      <c r="L133" s="13" t="inlineStr">
        <is>
          <t>Actividad pendiente por cumplir, No soportan evidencia.</t>
        </is>
      </c>
    </row>
    <row r="134">
      <c r="A134" s="7" t="inlineStr">
        <is>
          <t>sgc-2023-8</t>
        </is>
      </c>
      <c r="B134" s="7" t="n">
        <v>6</v>
      </c>
      <c r="C134" s="7" t="inlineStr">
        <is>
          <t>SGC</t>
        </is>
      </c>
      <c r="D134" s="7" t="inlineStr">
        <is>
          <t>2023</t>
        </is>
      </c>
      <c r="E134" s="7" t="n">
        <v>8</v>
      </c>
      <c r="F134" s="8" t="n">
        <v>45930</v>
      </c>
      <c r="G134" s="7" t="inlineStr">
        <is>
          <t>JOAN IMAYINNE GALVIS MORENO</t>
        </is>
      </c>
      <c r="H134" s="14" t="n">
        <v>2</v>
      </c>
      <c r="I134" s="15">
        <f>IF(H134="","",H134/2)</f>
        <v/>
      </c>
      <c r="J134" s="7">
        <f>IF(H134="",0,IF(SUMPRODUCT((Seguimientos!$A$2:$A$1013=A134)*(Seguimientos!$F$2:$F$1013=F134)*(Seguimientos!$B$2:$B$1013&gt;B134)*(Seguimientos!$H$2:$H$1013&lt;&gt;""))=0,1,0))</f>
        <v/>
      </c>
      <c r="K134" s="7">
        <f>A134&amp;"|"&amp;B134</f>
        <v/>
      </c>
      <c r="L134" s="13" t="inlineStr">
        <is>
          <t>Se adjunta el Acta 001 de marzo de 2024, ítem 5, en la que se presentan a la Comisión de Gestión los resultados de los indicadores de gestión. En dicha sesión se tomaron decisiones frente a las oficinas que no dieron respuesta, dando por cerrada la actividad.</t>
        </is>
      </c>
    </row>
    <row r="135">
      <c r="A135" s="7" t="inlineStr">
        <is>
          <t>sgc-2023-8</t>
        </is>
      </c>
      <c r="B135" s="7" t="n">
        <v>7</v>
      </c>
      <c r="C135" s="7" t="inlineStr">
        <is>
          <t>SGC</t>
        </is>
      </c>
      <c r="D135" s="7" t="inlineStr">
        <is>
          <t>2023</t>
        </is>
      </c>
      <c r="E135" s="7" t="n">
        <v>8</v>
      </c>
      <c r="F135" s="8" t="n">
        <v>46021</v>
      </c>
      <c r="G135" s="7" t="inlineStr">
        <is>
          <t>JOAN IMAYINNE GALVIS MORENO</t>
        </is>
      </c>
      <c r="H135" s="14" t="n">
        <v>2</v>
      </c>
      <c r="I135" s="15">
        <f>IF(H135="","",H135/2)</f>
        <v/>
      </c>
      <c r="J135" s="7">
        <f>IF(H135="",0,IF(SUMPRODUCT((Seguimientos!$A$2:$A$1013=A135)*(Seguimientos!$F$2:$F$1013=F135)*(Seguimientos!$B$2:$B$1013&gt;B135)*(Seguimientos!$H$2:$H$1013&lt;&gt;""))=0,1,0))</f>
        <v/>
      </c>
      <c r="K135" s="7">
        <f>A135&amp;"|"&amp;B135</f>
        <v/>
      </c>
      <c r="L135" s="13" t="inlineStr">
        <is>
          <t>ACTIVIDAD COMPLETADA</t>
        </is>
      </c>
    </row>
    <row r="136">
      <c r="A136" s="7" t="inlineStr">
        <is>
          <t>sgc-2023-8</t>
        </is>
      </c>
      <c r="B136" s="7" t="n">
        <v>8</v>
      </c>
      <c r="C136" s="7" t="inlineStr">
        <is>
          <t>SGC</t>
        </is>
      </c>
      <c r="D136" s="7" t="inlineStr">
        <is>
          <t>2023</t>
        </is>
      </c>
      <c r="E136" s="7" t="n">
        <v>8</v>
      </c>
      <c r="F136" s="8" t="n">
        <v>46142</v>
      </c>
      <c r="G136" s="7" t="inlineStr">
        <is>
          <t>JOAN IMAYINNE GALVIS MORENO</t>
        </is>
      </c>
      <c r="H136" s="14" t="n">
        <v>2</v>
      </c>
      <c r="I136" s="15">
        <f>IF(H136="","",H136/2)</f>
        <v/>
      </c>
      <c r="J136" s="7">
        <f>IF(H136="",0,IF(SUMPRODUCT((Seguimientos!$A$2:$A$1013=A136)*(Seguimientos!$F$2:$F$1013=F136)*(Seguimientos!$B$2:$B$1013&gt;B136)*(Seguimientos!$H$2:$H$1013&lt;&gt;""))=0,1,0))</f>
        <v/>
      </c>
      <c r="K136" s="7">
        <f>A136&amp;"|"&amp;B136</f>
        <v/>
      </c>
      <c r="L136" s="13" t="inlineStr">
        <is>
          <t>ACTIVIDAD COMPLETADA</t>
        </is>
      </c>
    </row>
    <row r="137">
      <c r="A137" s="7" t="inlineStr">
        <is>
          <t>sgc-2023-8</t>
        </is>
      </c>
      <c r="B137" s="7" t="n">
        <v>9</v>
      </c>
      <c r="C137" s="7" t="inlineStr">
        <is>
          <t>SGC</t>
        </is>
      </c>
      <c r="D137" s="7" t="inlineStr">
        <is>
          <t>2023</t>
        </is>
      </c>
      <c r="E137" s="7" t="n">
        <v>8</v>
      </c>
      <c r="F137" s="8" t="n">
        <v>46203</v>
      </c>
      <c r="G137" s="7" t="inlineStr">
        <is>
          <t>JOAN IMAYINNE GALVIS MORENO</t>
        </is>
      </c>
      <c r="H137" s="14" t="n">
        <v>2</v>
      </c>
      <c r="I137" s="15">
        <f>IF(H137="","",H137/2)</f>
        <v/>
      </c>
      <c r="J137" s="7">
        <f>IF(H137="",0,IF(SUMPRODUCT((Seguimientos!$A$2:$A$1013=A137)*(Seguimientos!$F$2:$F$1013=F137)*(Seguimientos!$B$2:$B$1013&gt;B137)*(Seguimientos!$H$2:$H$1013&lt;&gt;""))=0,1,0))</f>
        <v/>
      </c>
      <c r="K137" s="7">
        <f>A137&amp;"|"&amp;B137</f>
        <v/>
      </c>
      <c r="L137" s="13" t="inlineStr">
        <is>
          <t>ACTIVIDAD COMPLETADA</t>
        </is>
      </c>
    </row>
    <row r="138">
      <c r="A138" s="7" t="inlineStr">
        <is>
          <t>sgc-2023-9</t>
        </is>
      </c>
      <c r="B138" s="7" t="n">
        <v>1</v>
      </c>
      <c r="C138" s="7" t="inlineStr">
        <is>
          <t>SGC</t>
        </is>
      </c>
      <c r="D138" s="7" t="inlineStr">
        <is>
          <t>2023</t>
        </is>
      </c>
      <c r="E138" s="7" t="n">
        <v>9</v>
      </c>
      <c r="F138" s="8" t="n">
        <v>45405</v>
      </c>
      <c r="G138" s="7" t="inlineStr">
        <is>
          <t>DANIEL EDUARDO SOTO BERNAL</t>
        </is>
      </c>
      <c r="H138" s="14" t="n">
        <v>0</v>
      </c>
      <c r="I138" s="15">
        <f>IF(H138="","",H138/2)</f>
        <v/>
      </c>
      <c r="J138" s="7">
        <f>IF(H138="",0,IF(SUMPRODUCT((Seguimientos!$A$2:$A$1013=A138)*(Seguimientos!$F$2:$F$1013=F138)*(Seguimientos!$B$2:$B$1013&gt;B138)*(Seguimientos!$H$2:$H$1013&lt;&gt;""))=0,1,0))</f>
        <v/>
      </c>
      <c r="K138" s="7">
        <f>A138&amp;"|"&amp;B138</f>
        <v/>
      </c>
      <c r="L138" s="13" t="inlineStr">
        <is>
          <t>Actividad pendiente por cumplir, No soportan evidencia.</t>
        </is>
      </c>
    </row>
    <row r="139">
      <c r="A139" s="7" t="inlineStr">
        <is>
          <t>sgc-2023-9</t>
        </is>
      </c>
      <c r="B139" s="7" t="n">
        <v>2</v>
      </c>
      <c r="C139" s="7" t="inlineStr">
        <is>
          <t>SGC</t>
        </is>
      </c>
      <c r="D139" s="7" t="inlineStr">
        <is>
          <t>2023</t>
        </is>
      </c>
      <c r="E139" s="7" t="n">
        <v>9</v>
      </c>
      <c r="F139" s="8" t="n">
        <v>45497</v>
      </c>
      <c r="G139" s="7" t="inlineStr">
        <is>
          <t>DANIEL EDUARDO SOTO BERNAL</t>
        </is>
      </c>
      <c r="H139" s="14" t="n">
        <v>1</v>
      </c>
      <c r="I139" s="15">
        <f>IF(H139="","",H139/2)</f>
        <v/>
      </c>
      <c r="J139" s="7">
        <f>IF(H139="",0,IF(SUMPRODUCT((Seguimientos!$A$2:$A$1013=A139)*(Seguimientos!$F$2:$F$1013=F139)*(Seguimientos!$B$2:$B$1013&gt;B139)*(Seguimientos!$H$2:$H$1013&lt;&gt;""))=0,1,0))</f>
        <v/>
      </c>
      <c r="K139" s="7">
        <f>A139&amp;"|"&amp;B139</f>
        <v/>
      </c>
      <c r="L139" s="13" t="inlineStr">
        <is>
          <t>Actualmente los lineamientos y el manual de ingreso se encuentran en proceso de revisiones administrativas: 1. Lineamientos: La Jefatura de Recursos Físicos y Servicios Generales esta en proceso de verificación y ajuste de los comentarios emitidos por parte de la Dirección Jurídica. 2 Manual de ingreso: Se encuentra en revisión de la Dirección de Bienes y Servicios. Soporte: https://mailunicundiedu.sharepoint.com/:f:/s/GENERALIDADESRECURSOSFISICOS/Eh74Qm53BgBAiKIKYnoetp8BP0xcAi4_1SrbxIInBMSUhw?e=a695Ta</t>
        </is>
      </c>
    </row>
    <row r="140">
      <c r="A140" s="7" t="inlineStr">
        <is>
          <t>sgc-2023-9</t>
        </is>
      </c>
      <c r="B140" s="7" t="n">
        <v>3</v>
      </c>
      <c r="C140" s="7" t="inlineStr">
        <is>
          <t>SGC</t>
        </is>
      </c>
      <c r="D140" s="7" t="inlineStr">
        <is>
          <t>2023</t>
        </is>
      </c>
      <c r="E140" s="7" t="n">
        <v>9</v>
      </c>
      <c r="F140" s="8" t="n">
        <v>45583</v>
      </c>
      <c r="G140" s="7" t="inlineStr">
        <is>
          <t>DANIEL EDUARDO SOTO BERNAL</t>
        </is>
      </c>
      <c r="H140" s="14" t="n">
        <v>1</v>
      </c>
      <c r="I140" s="15">
        <f>IF(H140="","",H140/2)</f>
        <v/>
      </c>
      <c r="J140" s="7">
        <f>IF(H140="",0,IF(SUMPRODUCT((Seguimientos!$A$2:$A$1013=A140)*(Seguimientos!$F$2:$F$1013=F140)*(Seguimientos!$B$2:$B$1013&gt;B140)*(Seguimientos!$H$2:$H$1013&lt;&gt;""))=0,1,0))</f>
        <v/>
      </c>
      <c r="K140" s="7">
        <f>A140&amp;"|"&amp;B140</f>
        <v/>
      </c>
      <c r="L140" s="13" t="inlineStr">
        <is>
          <t>Actualmente los lineamientos y el manual de ingreso se encuentran en proceso de revisiones administrativas toda vez que en la primer revisión la dirección jurídica emitió unos comentarios para el ajuste de los documentos, informamos, que los mismos fueron atendidos y remitidos nuevamente para validación por parte de la Dirección Jurídica.</t>
        </is>
      </c>
    </row>
    <row r="141">
      <c r="A141" s="7" t="inlineStr">
        <is>
          <t>sgc-2023-9</t>
        </is>
      </c>
      <c r="B141" s="7" t="n">
        <v>4</v>
      </c>
      <c r="C141" s="7" t="inlineStr">
        <is>
          <t>SGC</t>
        </is>
      </c>
      <c r="D141" s="7" t="inlineStr">
        <is>
          <t>2023</t>
        </is>
      </c>
      <c r="E141" s="7" t="n">
        <v>9</v>
      </c>
      <c r="F141" s="8" t="n">
        <v>45777</v>
      </c>
      <c r="G141" s="7" t="inlineStr">
        <is>
          <t>DANIEL EDUARDO SOTO BERNAL</t>
        </is>
      </c>
      <c r="H141" s="14" t="n">
        <v>1</v>
      </c>
      <c r="I141" s="15">
        <f>IF(H141="","",H141/2)</f>
        <v/>
      </c>
      <c r="J141" s="7">
        <f>IF(H141="",0,IF(SUMPRODUCT((Seguimientos!$A$2:$A$1013=A141)*(Seguimientos!$F$2:$F$1013=F141)*(Seguimientos!$B$2:$B$1013&gt;B141)*(Seguimientos!$H$2:$H$1013&lt;&gt;""))=0,1,0))</f>
        <v/>
      </c>
      <c r="K141" s="7">
        <f>A141&amp;"|"&amp;B141</f>
        <v/>
      </c>
      <c r="L141" s="13" t="inlineStr">
        <is>
          <t>Actividad pendiente por cumplir, No soportan evidencia.</t>
        </is>
      </c>
    </row>
    <row r="142">
      <c r="A142" s="7" t="inlineStr">
        <is>
          <t>sgc-2023-9</t>
        </is>
      </c>
      <c r="B142" s="7" t="n">
        <v>5</v>
      </c>
      <c r="C142" s="7" t="inlineStr">
        <is>
          <t>SGC</t>
        </is>
      </c>
      <c r="D142" s="7" t="inlineStr">
        <is>
          <t>2023</t>
        </is>
      </c>
      <c r="E142" s="7" t="n">
        <v>9</v>
      </c>
      <c r="F142" s="8" t="n">
        <v>45838</v>
      </c>
      <c r="G142" s="7" t="inlineStr">
        <is>
          <t>DANIEL EDUARDO SOTO BERNAL</t>
        </is>
      </c>
      <c r="H142" s="14" t="n">
        <v>1</v>
      </c>
      <c r="I142" s="15">
        <f>IF(H142="","",H142/2)</f>
        <v/>
      </c>
      <c r="J142" s="7">
        <f>IF(H142="",0,IF(SUMPRODUCT((Seguimientos!$A$2:$A$1013=A142)*(Seguimientos!$F$2:$F$1013=F142)*(Seguimientos!$B$2:$B$1013&gt;B142)*(Seguimientos!$H$2:$H$1013&lt;&gt;""))=0,1,0))</f>
        <v/>
      </c>
      <c r="K142" s="7">
        <f>A142&amp;"|"&amp;B142</f>
        <v/>
      </c>
      <c r="L142" s="13" t="inlineStr">
        <is>
          <t>Actividad pendiente por cumplir, No soportan evidencia.</t>
        </is>
      </c>
    </row>
    <row r="143">
      <c r="A143" s="7" t="inlineStr">
        <is>
          <t>sgc-2023-9</t>
        </is>
      </c>
      <c r="B143" s="7" t="n">
        <v>6</v>
      </c>
      <c r="C143" s="7" t="inlineStr">
        <is>
          <t>SGC</t>
        </is>
      </c>
      <c r="D143" s="7" t="inlineStr">
        <is>
          <t>2023</t>
        </is>
      </c>
      <c r="E143" s="7" t="n">
        <v>9</v>
      </c>
      <c r="F143" s="8" t="n">
        <v>45930</v>
      </c>
      <c r="G143" s="7" t="inlineStr">
        <is>
          <t>JOAN IMAYINNE GALVIS MORENO</t>
        </is>
      </c>
      <c r="H143" s="14" t="n">
        <v>1</v>
      </c>
      <c r="I143" s="15">
        <f>IF(H143="","",H143/2)</f>
        <v/>
      </c>
      <c r="J143" s="7">
        <f>IF(H143="",0,IF(SUMPRODUCT((Seguimientos!$A$2:$A$1013=A143)*(Seguimientos!$F$2:$F$1013=F143)*(Seguimientos!$B$2:$B$1013&gt;B143)*(Seguimientos!$H$2:$H$1013&lt;&gt;""))=0,1,0))</f>
        <v/>
      </c>
      <c r="K143" s="7">
        <f>A143&amp;"|"&amp;B143</f>
        <v/>
      </c>
      <c r="L143" s="13" t="inlineStr">
        <is>
          <t>Actividad pendiente por cumplir, No soportan evidencia.</t>
        </is>
      </c>
    </row>
    <row r="144">
      <c r="A144" s="7" t="inlineStr">
        <is>
          <t>sgc-2023-9</t>
        </is>
      </c>
      <c r="B144" s="7" t="n">
        <v>7</v>
      </c>
      <c r="C144" s="7" t="inlineStr">
        <is>
          <t>SGC</t>
        </is>
      </c>
      <c r="D144" s="7" t="inlineStr">
        <is>
          <t>2023</t>
        </is>
      </c>
      <c r="E144" s="7" t="n">
        <v>9</v>
      </c>
      <c r="F144" s="8" t="n">
        <v>46021</v>
      </c>
      <c r="G144" s="7" t="inlineStr">
        <is>
          <t>JOAN IMAYINNE GALVIS MORENO</t>
        </is>
      </c>
      <c r="H144" s="14" t="n">
        <v>1</v>
      </c>
      <c r="I144" s="15">
        <f>IF(H144="","",H144/2)</f>
        <v/>
      </c>
      <c r="J144" s="7">
        <f>IF(H144="",0,IF(SUMPRODUCT((Seguimientos!$A$2:$A$1013=A144)*(Seguimientos!$F$2:$F$1013=F144)*(Seguimientos!$B$2:$B$1013&gt;B144)*(Seguimientos!$H$2:$H$1013&lt;&gt;""))=0,1,0))</f>
        <v/>
      </c>
      <c r="K144" s="7">
        <f>A144&amp;"|"&amp;B144</f>
        <v/>
      </c>
      <c r="L144" s="13" t="inlineStr">
        <is>
          <t>Actividad pendiente por cumplir, No soportan evidencia.</t>
        </is>
      </c>
    </row>
    <row r="145">
      <c r="A145" s="7" t="inlineStr">
        <is>
          <t>sgc-2023-9</t>
        </is>
      </c>
      <c r="B145" s="7" t="n">
        <v>8</v>
      </c>
      <c r="C145" s="7" t="inlineStr">
        <is>
          <t>SGC</t>
        </is>
      </c>
      <c r="D145" s="7" t="inlineStr">
        <is>
          <t>2023</t>
        </is>
      </c>
      <c r="E145" s="7" t="n">
        <v>9</v>
      </c>
      <c r="F145" s="8" t="n">
        <v>46142</v>
      </c>
      <c r="G145" s="7" t="inlineStr">
        <is>
          <t>JOAN IMAYINNE GALVIS MORENO</t>
        </is>
      </c>
      <c r="H145" s="14" t="n">
        <v>1.5</v>
      </c>
      <c r="I145" s="15">
        <f>IF(H145="","",H145/2)</f>
        <v/>
      </c>
      <c r="J145" s="7">
        <f>IF(H145="",0,IF(SUMPRODUCT((Seguimientos!$A$2:$A$1013=A145)*(Seguimientos!$F$2:$F$1013=F145)*(Seguimientos!$B$2:$B$1013&gt;B145)*(Seguimientos!$H$2:$H$1013&lt;&gt;""))=0,1,0))</f>
        <v/>
      </c>
      <c r="K145" s="7">
        <f>A145&amp;"|"&amp;B145</f>
        <v/>
      </c>
      <c r="L145" s="13" t="inlineStr">
        <is>
          <t>De acuerdo con la información suministrada por la Jefatura de Recursos Físicos, se identifica que se ha adelantado la elaboración del proyecto de resolución, en el cual ya se contemplan los vistos buenos por parte del área jurídica del acto administrativo. Sin embargo, falta la realización de una mesa de trabajo con la alta dirección, la cual es necesaria para culminar el trámite de aprobación y publicación.</t>
        </is>
      </c>
    </row>
    <row r="146">
      <c r="A146" s="7" t="inlineStr">
        <is>
          <t>sgc-2023-9</t>
        </is>
      </c>
      <c r="B146" s="7" t="n">
        <v>9</v>
      </c>
      <c r="C146" s="7" t="inlineStr">
        <is>
          <t>SGC</t>
        </is>
      </c>
      <c r="D146" s="7" t="inlineStr">
        <is>
          <t>2023</t>
        </is>
      </c>
      <c r="E146" s="7" t="n">
        <v>9</v>
      </c>
      <c r="F146" s="8" t="n">
        <v>46203</v>
      </c>
      <c r="G146" s="7" t="inlineStr">
        <is>
          <t>JOAN IMAYINNE GALVIS MORENO</t>
        </is>
      </c>
      <c r="H146" s="14" t="n">
        <v>1.5</v>
      </c>
      <c r="I146" s="15">
        <f>IF(H146="","",H146/2)</f>
        <v/>
      </c>
      <c r="J146" s="7">
        <f>IF(H146="",0,IF(SUMPRODUCT((Seguimientos!$A$2:$A$1013=A146)*(Seguimientos!$F$2:$F$1013=F146)*(Seguimientos!$B$2:$B$1013&gt;B146)*(Seguimientos!$H$2:$H$1013&lt;&gt;""))=0,1,0))</f>
        <v/>
      </c>
      <c r="K146" s="7">
        <f>A146&amp;"|"&amp;B146</f>
        <v/>
      </c>
      <c r="L146" s="13" t="inlineStr"/>
    </row>
    <row r="147">
      <c r="A147" s="7" t="inlineStr">
        <is>
          <t>sgc-2023-10</t>
        </is>
      </c>
      <c r="B147" s="7" t="n">
        <v>1</v>
      </c>
      <c r="C147" s="7" t="inlineStr">
        <is>
          <t>SGC</t>
        </is>
      </c>
      <c r="D147" s="7" t="inlineStr">
        <is>
          <t>2023</t>
        </is>
      </c>
      <c r="E147" s="7" t="n">
        <v>10</v>
      </c>
      <c r="F147" s="8" t="n">
        <v>45405</v>
      </c>
      <c r="G147" s="7" t="inlineStr">
        <is>
          <t>DANIEL EDUARDO SOTO BERNAL</t>
        </is>
      </c>
      <c r="H147" s="14" t="n">
        <v>2</v>
      </c>
      <c r="I147" s="15">
        <f>IF(H147="","",H147/2)</f>
        <v/>
      </c>
      <c r="J147" s="7">
        <f>IF(H147="",0,IF(SUMPRODUCT((Seguimientos!$A$2:$A$1013=A147)*(Seguimientos!$F$2:$F$1013=F147)*(Seguimientos!$B$2:$B$1013&gt;B147)*(Seguimientos!$H$2:$H$1013&lt;&gt;""))=0,1,0))</f>
        <v/>
      </c>
      <c r="K147" s="7">
        <f>A147&amp;"|"&amp;B147</f>
        <v/>
      </c>
      <c r="L147" s="13" t="inlineStr">
        <is>
          <t>Se carga informe sobre las condiciones de los teléfonos de la UCundinamarca realizado por el área de Servicios Tecnológicos.</t>
        </is>
      </c>
    </row>
    <row r="148">
      <c r="A148" s="7" t="inlineStr">
        <is>
          <t>sgc-2023-10</t>
        </is>
      </c>
      <c r="B148" s="7" t="n">
        <v>2</v>
      </c>
      <c r="C148" s="7" t="inlineStr">
        <is>
          <t>SGC</t>
        </is>
      </c>
      <c r="D148" s="7" t="inlineStr">
        <is>
          <t>2023</t>
        </is>
      </c>
      <c r="E148" s="7" t="n">
        <v>10</v>
      </c>
      <c r="F148" s="8" t="n">
        <v>45497</v>
      </c>
      <c r="G148" s="7" t="inlineStr">
        <is>
          <t>DANIEL EDUARDO SOTO BERNAL</t>
        </is>
      </c>
      <c r="H148" s="14" t="n">
        <v>2</v>
      </c>
      <c r="I148" s="15">
        <f>IF(H148="","",H148/2)</f>
        <v/>
      </c>
      <c r="J148" s="7">
        <f>IF(H148="",0,IF(SUMPRODUCT((Seguimientos!$A$2:$A$1013=A148)*(Seguimientos!$F$2:$F$1013=F148)*(Seguimientos!$B$2:$B$1013&gt;B148)*(Seguimientos!$H$2:$H$1013&lt;&gt;""))=0,1,0))</f>
        <v/>
      </c>
      <c r="K148" s="7">
        <f>A148&amp;"|"&amp;B148</f>
        <v/>
      </c>
      <c r="L148" s="13" t="inlineStr">
        <is>
          <t>ACTIVIDAD COMPLETADA</t>
        </is>
      </c>
    </row>
    <row r="149">
      <c r="A149" s="7" t="inlineStr">
        <is>
          <t>sgc-2023-10</t>
        </is>
      </c>
      <c r="B149" s="7" t="n">
        <v>3</v>
      </c>
      <c r="C149" s="7" t="inlineStr">
        <is>
          <t>SGC</t>
        </is>
      </c>
      <c r="D149" s="7" t="inlineStr">
        <is>
          <t>2023</t>
        </is>
      </c>
      <c r="E149" s="7" t="n">
        <v>10</v>
      </c>
      <c r="F149" s="8" t="n">
        <v>45583</v>
      </c>
      <c r="G149" s="7" t="inlineStr">
        <is>
          <t>DANIEL EDUARDO SOTO BERNAL</t>
        </is>
      </c>
      <c r="H149" s="14" t="n">
        <v>2</v>
      </c>
      <c r="I149" s="15">
        <f>IF(H149="","",H149/2)</f>
        <v/>
      </c>
      <c r="J149" s="7">
        <f>IF(H149="",0,IF(SUMPRODUCT((Seguimientos!$A$2:$A$1013=A149)*(Seguimientos!$F$2:$F$1013=F149)*(Seguimientos!$B$2:$B$1013&gt;B149)*(Seguimientos!$H$2:$H$1013&lt;&gt;""))=0,1,0))</f>
        <v/>
      </c>
      <c r="K149" s="7">
        <f>A149&amp;"|"&amp;B149</f>
        <v/>
      </c>
      <c r="L149" s="13" t="inlineStr">
        <is>
          <t>ACTIVIDAD COMPLETADA</t>
        </is>
      </c>
    </row>
    <row r="150">
      <c r="A150" s="7" t="inlineStr">
        <is>
          <t>sgc-2023-10</t>
        </is>
      </c>
      <c r="B150" s="7" t="n">
        <v>4</v>
      </c>
      <c r="C150" s="7" t="inlineStr">
        <is>
          <t>SGC</t>
        </is>
      </c>
      <c r="D150" s="7" t="inlineStr">
        <is>
          <t>2023</t>
        </is>
      </c>
      <c r="E150" s="7" t="n">
        <v>10</v>
      </c>
      <c r="F150" s="8" t="n">
        <v>45777</v>
      </c>
      <c r="G150" s="7" t="inlineStr">
        <is>
          <t>DANIEL EDUARDO SOTO BERNAL</t>
        </is>
      </c>
      <c r="H150" s="14" t="n">
        <v>2</v>
      </c>
      <c r="I150" s="15">
        <f>IF(H150="","",H150/2)</f>
        <v/>
      </c>
      <c r="J150" s="7">
        <f>IF(H150="",0,IF(SUMPRODUCT((Seguimientos!$A$2:$A$1013=A150)*(Seguimientos!$F$2:$F$1013=F150)*(Seguimientos!$B$2:$B$1013&gt;B150)*(Seguimientos!$H$2:$H$1013&lt;&gt;""))=0,1,0))</f>
        <v/>
      </c>
      <c r="K150" s="7">
        <f>A150&amp;"|"&amp;B150</f>
        <v/>
      </c>
      <c r="L150" s="13" t="inlineStr">
        <is>
          <t>ACTIVIDAD COMPLETADA</t>
        </is>
      </c>
    </row>
    <row r="151">
      <c r="A151" s="7" t="inlineStr">
        <is>
          <t>sgc-2023-10</t>
        </is>
      </c>
      <c r="B151" s="7" t="n">
        <v>5</v>
      </c>
      <c r="C151" s="7" t="inlineStr">
        <is>
          <t>SGC</t>
        </is>
      </c>
      <c r="D151" s="7" t="inlineStr">
        <is>
          <t>2023</t>
        </is>
      </c>
      <c r="E151" s="7" t="n">
        <v>10</v>
      </c>
      <c r="F151" s="8" t="n">
        <v>45838</v>
      </c>
      <c r="G151" s="7" t="inlineStr">
        <is>
          <t>DANIEL EDUARDO SOTO BERNAL</t>
        </is>
      </c>
      <c r="H151" s="14" t="n">
        <v>2</v>
      </c>
      <c r="I151" s="15">
        <f>IF(H151="","",H151/2)</f>
        <v/>
      </c>
      <c r="J151" s="7">
        <f>IF(H151="",0,IF(SUMPRODUCT((Seguimientos!$A$2:$A$1013=A151)*(Seguimientos!$F$2:$F$1013=F151)*(Seguimientos!$B$2:$B$1013&gt;B151)*(Seguimientos!$H$2:$H$1013&lt;&gt;""))=0,1,0))</f>
        <v/>
      </c>
      <c r="K151" s="7">
        <f>A151&amp;"|"&amp;B151</f>
        <v/>
      </c>
      <c r="L151" s="13" t="inlineStr">
        <is>
          <t>ACTIVIDAD COMPLETADA</t>
        </is>
      </c>
    </row>
    <row r="152">
      <c r="A152" s="7" t="inlineStr">
        <is>
          <t>sgc-2023-10</t>
        </is>
      </c>
      <c r="B152" s="7" t="n">
        <v>6</v>
      </c>
      <c r="C152" s="7" t="inlineStr">
        <is>
          <t>SGC</t>
        </is>
      </c>
      <c r="D152" s="7" t="inlineStr">
        <is>
          <t>2023</t>
        </is>
      </c>
      <c r="E152" s="7" t="n">
        <v>10</v>
      </c>
      <c r="F152" s="8" t="n">
        <v>45930</v>
      </c>
      <c r="G152" s="7" t="inlineStr">
        <is>
          <t>JOAN IMAYINNE GALVIS MORENO</t>
        </is>
      </c>
      <c r="H152" s="14" t="n">
        <v>2</v>
      </c>
      <c r="I152" s="15">
        <f>IF(H152="","",H152/2)</f>
        <v/>
      </c>
      <c r="J152" s="7">
        <f>IF(H152="",0,IF(SUMPRODUCT((Seguimientos!$A$2:$A$1013=A152)*(Seguimientos!$F$2:$F$1013=F152)*(Seguimientos!$B$2:$B$1013&gt;B152)*(Seguimientos!$H$2:$H$1013&lt;&gt;""))=0,1,0))</f>
        <v/>
      </c>
      <c r="K152" s="7">
        <f>A152&amp;"|"&amp;B152</f>
        <v/>
      </c>
      <c r="L152" s="13" t="inlineStr">
        <is>
          <t>ACTIVIDAD COMPLETADA</t>
        </is>
      </c>
    </row>
    <row r="153">
      <c r="A153" s="7" t="inlineStr">
        <is>
          <t>sgc-2023-10</t>
        </is>
      </c>
      <c r="B153" s="7" t="n">
        <v>7</v>
      </c>
      <c r="C153" s="7" t="inlineStr">
        <is>
          <t>SGC</t>
        </is>
      </c>
      <c r="D153" s="7" t="inlineStr">
        <is>
          <t>2023</t>
        </is>
      </c>
      <c r="E153" s="7" t="n">
        <v>10</v>
      </c>
      <c r="F153" s="8" t="n">
        <v>46021</v>
      </c>
      <c r="G153" s="7" t="inlineStr">
        <is>
          <t>JOAN IMAYINNE GALVIS MORENO</t>
        </is>
      </c>
      <c r="H153" s="14" t="n">
        <v>2</v>
      </c>
      <c r="I153" s="15">
        <f>IF(H153="","",H153/2)</f>
        <v/>
      </c>
      <c r="J153" s="7">
        <f>IF(H153="",0,IF(SUMPRODUCT((Seguimientos!$A$2:$A$1013=A153)*(Seguimientos!$F$2:$F$1013=F153)*(Seguimientos!$B$2:$B$1013&gt;B153)*(Seguimientos!$H$2:$H$1013&lt;&gt;""))=0,1,0))</f>
        <v/>
      </c>
      <c r="K153" s="7">
        <f>A153&amp;"|"&amp;B153</f>
        <v/>
      </c>
      <c r="L153" s="13" t="inlineStr">
        <is>
          <t>ACTIVIDAD COMPLETADA</t>
        </is>
      </c>
    </row>
    <row r="154">
      <c r="A154" s="7" t="inlineStr">
        <is>
          <t>sgc-2023-10</t>
        </is>
      </c>
      <c r="B154" s="7" t="n">
        <v>8</v>
      </c>
      <c r="C154" s="7" t="inlineStr">
        <is>
          <t>SGC</t>
        </is>
      </c>
      <c r="D154" s="7" t="inlineStr">
        <is>
          <t>2023</t>
        </is>
      </c>
      <c r="E154" s="7" t="n">
        <v>10</v>
      </c>
      <c r="F154" s="8" t="n">
        <v>46142</v>
      </c>
      <c r="G154" s="7" t="inlineStr">
        <is>
          <t>JOAN IMAYINNE GALVIS MORENO</t>
        </is>
      </c>
      <c r="H154" s="14" t="n">
        <v>2</v>
      </c>
      <c r="I154" s="15">
        <f>IF(H154="","",H154/2)</f>
        <v/>
      </c>
      <c r="J154" s="7">
        <f>IF(H154="",0,IF(SUMPRODUCT((Seguimientos!$A$2:$A$1013=A154)*(Seguimientos!$F$2:$F$1013=F154)*(Seguimientos!$B$2:$B$1013&gt;B154)*(Seguimientos!$H$2:$H$1013&lt;&gt;""))=0,1,0))</f>
        <v/>
      </c>
      <c r="K154" s="7">
        <f>A154&amp;"|"&amp;B154</f>
        <v/>
      </c>
      <c r="L154" s="13" t="inlineStr">
        <is>
          <t>ACTIVIDAD COMPLETADA</t>
        </is>
      </c>
    </row>
    <row r="155">
      <c r="A155" s="7" t="inlineStr">
        <is>
          <t>sgc-2023-10</t>
        </is>
      </c>
      <c r="B155" s="7" t="n">
        <v>9</v>
      </c>
      <c r="C155" s="7" t="inlineStr">
        <is>
          <t>SGC</t>
        </is>
      </c>
      <c r="D155" s="7" t="inlineStr">
        <is>
          <t>2023</t>
        </is>
      </c>
      <c r="E155" s="7" t="n">
        <v>10</v>
      </c>
      <c r="F155" s="8" t="n">
        <v>46203</v>
      </c>
      <c r="G155" s="7" t="inlineStr">
        <is>
          <t>JOAN IMAYINNE GALVIS MORENO</t>
        </is>
      </c>
      <c r="H155" s="14" t="n">
        <v>2</v>
      </c>
      <c r="I155" s="15">
        <f>IF(H155="","",H155/2)</f>
        <v/>
      </c>
      <c r="J155" s="7">
        <f>IF(H155="",0,IF(SUMPRODUCT((Seguimientos!$A$2:$A$1013=A155)*(Seguimientos!$F$2:$F$1013=F155)*(Seguimientos!$B$2:$B$1013&gt;B155)*(Seguimientos!$H$2:$H$1013&lt;&gt;""))=0,1,0))</f>
        <v/>
      </c>
      <c r="K155" s="7">
        <f>A155&amp;"|"&amp;B155</f>
        <v/>
      </c>
      <c r="L155" s="13" t="inlineStr">
        <is>
          <t>ACTIVIDAD COMPLETADA</t>
        </is>
      </c>
    </row>
    <row r="156">
      <c r="A156" s="7" t="inlineStr">
        <is>
          <t>sgc-2023-11</t>
        </is>
      </c>
      <c r="B156" s="7" t="n">
        <v>1</v>
      </c>
      <c r="C156" s="7" t="inlineStr">
        <is>
          <t>SGC</t>
        </is>
      </c>
      <c r="D156" s="7" t="inlineStr">
        <is>
          <t>2023</t>
        </is>
      </c>
      <c r="E156" s="7" t="n">
        <v>11</v>
      </c>
      <c r="F156" s="8" t="n">
        <v>45405</v>
      </c>
      <c r="G156" s="7" t="inlineStr">
        <is>
          <t>DANIEL EDUARDO SOTO BERNAL</t>
        </is>
      </c>
      <c r="H156" s="14" t="n">
        <v>2</v>
      </c>
      <c r="I156" s="15">
        <f>IF(H156="","",H156/2)</f>
        <v/>
      </c>
      <c r="J156" s="7">
        <f>IF(H156="",0,IF(SUMPRODUCT((Seguimientos!$A$2:$A$1013=A156)*(Seguimientos!$F$2:$F$1013=F156)*(Seguimientos!$B$2:$B$1013&gt;B156)*(Seguimientos!$H$2:$H$1013&lt;&gt;""))=0,1,0))</f>
        <v/>
      </c>
      <c r="K156" s="7">
        <f>A156&amp;"|"&amp;B156</f>
        <v/>
      </c>
      <c r="L156" s="13" t="inlineStr">
        <is>
          <t>En la sesión del Comité de Prácticas Académicas y/o Experiencias Formativas del 08/02/2024, se llevó a cabo la presentación, estudio y discusión de los lineamientos proporcionados por el Comité. Estos lineamientos abordan diversas directrices relacionadas con el funcionamiento del comité, el proceso para realizar modificaciones, entre otros aspectos. En la sesión subsiguiente del Comité, realizada el 06/03/2024, se procedió a la socialización de dichos lineamientos para su posterior aprobación.</t>
        </is>
      </c>
    </row>
    <row r="157">
      <c r="A157" s="7" t="inlineStr">
        <is>
          <t>sgc-2023-11</t>
        </is>
      </c>
      <c r="B157" s="7" t="n">
        <v>2</v>
      </c>
      <c r="C157" s="7" t="inlineStr">
        <is>
          <t>SGC</t>
        </is>
      </c>
      <c r="D157" s="7" t="inlineStr">
        <is>
          <t>2023</t>
        </is>
      </c>
      <c r="E157" s="7" t="n">
        <v>11</v>
      </c>
      <c r="F157" s="8" t="n">
        <v>45497</v>
      </c>
      <c r="G157" s="7" t="inlineStr">
        <is>
          <t>DANIEL EDUARDO SOTO BERNAL</t>
        </is>
      </c>
      <c r="H157" s="14" t="n">
        <v>2</v>
      </c>
      <c r="I157" s="15">
        <f>IF(H157="","",H157/2)</f>
        <v/>
      </c>
      <c r="J157" s="7">
        <f>IF(H157="",0,IF(SUMPRODUCT((Seguimientos!$A$2:$A$1013=A157)*(Seguimientos!$F$2:$F$1013=F157)*(Seguimientos!$B$2:$B$1013&gt;B157)*(Seguimientos!$H$2:$H$1013&lt;&gt;""))=0,1,0))</f>
        <v/>
      </c>
      <c r="K157" s="7">
        <f>A157&amp;"|"&amp;B157</f>
        <v/>
      </c>
      <c r="L157" s="13" t="inlineStr">
        <is>
          <t>ACTIVIDAD COMPLETADA</t>
        </is>
      </c>
    </row>
    <row r="158">
      <c r="A158" s="7" t="inlineStr">
        <is>
          <t>sgc-2023-11</t>
        </is>
      </c>
      <c r="B158" s="7" t="n">
        <v>3</v>
      </c>
      <c r="C158" s="7" t="inlineStr">
        <is>
          <t>SGC</t>
        </is>
      </c>
      <c r="D158" s="7" t="inlineStr">
        <is>
          <t>2023</t>
        </is>
      </c>
      <c r="E158" s="7" t="n">
        <v>11</v>
      </c>
      <c r="F158" s="8" t="n">
        <v>45583</v>
      </c>
      <c r="G158" s="7" t="inlineStr">
        <is>
          <t>DANIEL EDUARDO SOTO BERNAL</t>
        </is>
      </c>
      <c r="H158" s="14" t="n">
        <v>2</v>
      </c>
      <c r="I158" s="15">
        <f>IF(H158="","",H158/2)</f>
        <v/>
      </c>
      <c r="J158" s="7">
        <f>IF(H158="",0,IF(SUMPRODUCT((Seguimientos!$A$2:$A$1013=A158)*(Seguimientos!$F$2:$F$1013=F158)*(Seguimientos!$B$2:$B$1013&gt;B158)*(Seguimientos!$H$2:$H$1013&lt;&gt;""))=0,1,0))</f>
        <v/>
      </c>
      <c r="K158" s="7">
        <f>A158&amp;"|"&amp;B158</f>
        <v/>
      </c>
      <c r="L158" s="13" t="inlineStr">
        <is>
          <t>ACTIVIDAD COMPLETADA</t>
        </is>
      </c>
    </row>
    <row r="159">
      <c r="A159" s="7" t="inlineStr">
        <is>
          <t>sgc-2023-11</t>
        </is>
      </c>
      <c r="B159" s="7" t="n">
        <v>4</v>
      </c>
      <c r="C159" s="7" t="inlineStr">
        <is>
          <t>SGC</t>
        </is>
      </c>
      <c r="D159" s="7" t="inlineStr">
        <is>
          <t>2023</t>
        </is>
      </c>
      <c r="E159" s="7" t="n">
        <v>11</v>
      </c>
      <c r="F159" s="8" t="n">
        <v>45777</v>
      </c>
      <c r="G159" s="7" t="inlineStr">
        <is>
          <t>DANIEL EDUARDO SOTO BERNAL</t>
        </is>
      </c>
      <c r="H159" s="14" t="n">
        <v>2</v>
      </c>
      <c r="I159" s="15">
        <f>IF(H159="","",H159/2)</f>
        <v/>
      </c>
      <c r="J159" s="7">
        <f>IF(H159="",0,IF(SUMPRODUCT((Seguimientos!$A$2:$A$1013=A159)*(Seguimientos!$F$2:$F$1013=F159)*(Seguimientos!$B$2:$B$1013&gt;B159)*(Seguimientos!$H$2:$H$1013&lt;&gt;""))=0,1,0))</f>
        <v/>
      </c>
      <c r="K159" s="7">
        <f>A159&amp;"|"&amp;B159</f>
        <v/>
      </c>
      <c r="L159" s="13" t="inlineStr">
        <is>
          <t>ACTIVIDAD COMPLETADA</t>
        </is>
      </c>
    </row>
    <row r="160">
      <c r="A160" s="7" t="inlineStr">
        <is>
          <t>sgc-2023-11</t>
        </is>
      </c>
      <c r="B160" s="7" t="n">
        <v>5</v>
      </c>
      <c r="C160" s="7" t="inlineStr">
        <is>
          <t>SGC</t>
        </is>
      </c>
      <c r="D160" s="7" t="inlineStr">
        <is>
          <t>2023</t>
        </is>
      </c>
      <c r="E160" s="7" t="n">
        <v>11</v>
      </c>
      <c r="F160" s="8" t="n">
        <v>45838</v>
      </c>
      <c r="G160" s="7" t="inlineStr">
        <is>
          <t>DANIEL EDUARDO SOTO BERNAL</t>
        </is>
      </c>
      <c r="H160" s="14" t="n">
        <v>2</v>
      </c>
      <c r="I160" s="15">
        <f>IF(H160="","",H160/2)</f>
        <v/>
      </c>
      <c r="J160" s="7">
        <f>IF(H160="",0,IF(SUMPRODUCT((Seguimientos!$A$2:$A$1013=A160)*(Seguimientos!$F$2:$F$1013=F160)*(Seguimientos!$B$2:$B$1013&gt;B160)*(Seguimientos!$H$2:$H$1013&lt;&gt;""))=0,1,0))</f>
        <v/>
      </c>
      <c r="K160" s="7">
        <f>A160&amp;"|"&amp;B160</f>
        <v/>
      </c>
      <c r="L160" s="13" t="inlineStr">
        <is>
          <t>ACTIVIDAD COMPLETADA</t>
        </is>
      </c>
    </row>
    <row r="161">
      <c r="A161" s="7" t="inlineStr">
        <is>
          <t>sgc-2023-11</t>
        </is>
      </c>
      <c r="B161" s="7" t="n">
        <v>6</v>
      </c>
      <c r="C161" s="7" t="inlineStr">
        <is>
          <t>SGC</t>
        </is>
      </c>
      <c r="D161" s="7" t="inlineStr">
        <is>
          <t>2023</t>
        </is>
      </c>
      <c r="E161" s="7" t="n">
        <v>11</v>
      </c>
      <c r="F161" s="8" t="n">
        <v>45930</v>
      </c>
      <c r="G161" s="7" t="inlineStr">
        <is>
          <t>JOAN IMAYINNE GALVIS MORENO</t>
        </is>
      </c>
      <c r="H161" s="14" t="n">
        <v>2</v>
      </c>
      <c r="I161" s="15">
        <f>IF(H161="","",H161/2)</f>
        <v/>
      </c>
      <c r="J161" s="7">
        <f>IF(H161="",0,IF(SUMPRODUCT((Seguimientos!$A$2:$A$1013=A161)*(Seguimientos!$F$2:$F$1013=F161)*(Seguimientos!$B$2:$B$1013&gt;B161)*(Seguimientos!$H$2:$H$1013&lt;&gt;""))=0,1,0))</f>
        <v/>
      </c>
      <c r="K161" s="7">
        <f>A161&amp;"|"&amp;B161</f>
        <v/>
      </c>
      <c r="L161" s="13" t="inlineStr">
        <is>
          <t>ACTIVIDAD COMPLETADA</t>
        </is>
      </c>
    </row>
    <row r="162">
      <c r="A162" s="7" t="inlineStr">
        <is>
          <t>sgc-2023-11</t>
        </is>
      </c>
      <c r="B162" s="7" t="n">
        <v>7</v>
      </c>
      <c r="C162" s="7" t="inlineStr">
        <is>
          <t>SGC</t>
        </is>
      </c>
      <c r="D162" s="7" t="inlineStr">
        <is>
          <t>2023</t>
        </is>
      </c>
      <c r="E162" s="7" t="n">
        <v>11</v>
      </c>
      <c r="F162" s="8" t="n">
        <v>46021</v>
      </c>
      <c r="G162" s="7" t="inlineStr">
        <is>
          <t>JOAN IMAYINNE GALVIS MORENO</t>
        </is>
      </c>
      <c r="H162" s="14" t="n">
        <v>2</v>
      </c>
      <c r="I162" s="15">
        <f>IF(H162="","",H162/2)</f>
        <v/>
      </c>
      <c r="J162" s="7">
        <f>IF(H162="",0,IF(SUMPRODUCT((Seguimientos!$A$2:$A$1013=A162)*(Seguimientos!$F$2:$F$1013=F162)*(Seguimientos!$B$2:$B$1013&gt;B162)*(Seguimientos!$H$2:$H$1013&lt;&gt;""))=0,1,0))</f>
        <v/>
      </c>
      <c r="K162" s="7">
        <f>A162&amp;"|"&amp;B162</f>
        <v/>
      </c>
      <c r="L162" s="13" t="inlineStr">
        <is>
          <t>ACTIVIDAD COMPLETADA</t>
        </is>
      </c>
    </row>
    <row r="163">
      <c r="A163" s="7" t="inlineStr">
        <is>
          <t>sgc-2023-11</t>
        </is>
      </c>
      <c r="B163" s="7" t="n">
        <v>8</v>
      </c>
      <c r="C163" s="7" t="inlineStr">
        <is>
          <t>SGC</t>
        </is>
      </c>
      <c r="D163" s="7" t="inlineStr">
        <is>
          <t>2023</t>
        </is>
      </c>
      <c r="E163" s="7" t="n">
        <v>11</v>
      </c>
      <c r="F163" s="8" t="n">
        <v>46142</v>
      </c>
      <c r="G163" s="7" t="inlineStr">
        <is>
          <t>JOAN IMAYINNE GALVIS MORENO</t>
        </is>
      </c>
      <c r="H163" s="14" t="n">
        <v>2</v>
      </c>
      <c r="I163" s="15">
        <f>IF(H163="","",H163/2)</f>
        <v/>
      </c>
      <c r="J163" s="7">
        <f>IF(H163="",0,IF(SUMPRODUCT((Seguimientos!$A$2:$A$1013=A163)*(Seguimientos!$F$2:$F$1013=F163)*(Seguimientos!$B$2:$B$1013&gt;B163)*(Seguimientos!$H$2:$H$1013&lt;&gt;""))=0,1,0))</f>
        <v/>
      </c>
      <c r="K163" s="7">
        <f>A163&amp;"|"&amp;B163</f>
        <v/>
      </c>
      <c r="L163" s="13" t="inlineStr">
        <is>
          <t>ACTIVIDAD COMPLETADA</t>
        </is>
      </c>
    </row>
    <row r="164">
      <c r="A164" s="7" t="inlineStr">
        <is>
          <t>sgc-2023-11</t>
        </is>
      </c>
      <c r="B164" s="7" t="n">
        <v>9</v>
      </c>
      <c r="C164" s="7" t="inlineStr">
        <is>
          <t>SGC</t>
        </is>
      </c>
      <c r="D164" s="7" t="inlineStr">
        <is>
          <t>2023</t>
        </is>
      </c>
      <c r="E164" s="7" t="n">
        <v>11</v>
      </c>
      <c r="F164" s="8" t="n">
        <v>46203</v>
      </c>
      <c r="G164" s="7" t="inlineStr">
        <is>
          <t>JOAN IMAYINNE GALVIS MORENO</t>
        </is>
      </c>
      <c r="H164" s="14" t="n">
        <v>2</v>
      </c>
      <c r="I164" s="15">
        <f>IF(H164="","",H164/2)</f>
        <v/>
      </c>
      <c r="J164" s="7">
        <f>IF(H164="",0,IF(SUMPRODUCT((Seguimientos!$A$2:$A$1013=A164)*(Seguimientos!$F$2:$F$1013=F164)*(Seguimientos!$B$2:$B$1013&gt;B164)*(Seguimientos!$H$2:$H$1013&lt;&gt;""))=0,1,0))</f>
        <v/>
      </c>
      <c r="K164" s="7">
        <f>A164&amp;"|"&amp;B164</f>
        <v/>
      </c>
      <c r="L164" s="13" t="inlineStr">
        <is>
          <t>ACTIVIDAD COMPLETADA</t>
        </is>
      </c>
    </row>
    <row r="165">
      <c r="A165" s="7" t="inlineStr">
        <is>
          <t>sgc-2023-12</t>
        </is>
      </c>
      <c r="B165" s="7" t="n">
        <v>1</v>
      </c>
      <c r="C165" s="7" t="inlineStr">
        <is>
          <t>SGC</t>
        </is>
      </c>
      <c r="D165" s="7" t="inlineStr">
        <is>
          <t>2023</t>
        </is>
      </c>
      <c r="E165" s="7" t="n">
        <v>12</v>
      </c>
      <c r="F165" s="8" t="n">
        <v>45405</v>
      </c>
      <c r="G165" s="7" t="inlineStr">
        <is>
          <t>DANIEL EDUARDO SOTO BERNAL</t>
        </is>
      </c>
      <c r="H165" s="14" t="n">
        <v>1</v>
      </c>
      <c r="I165" s="15">
        <f>IF(H165="","",H165/2)</f>
        <v/>
      </c>
      <c r="J165" s="7">
        <f>IF(H165="",0,IF(SUMPRODUCT((Seguimientos!$A$2:$A$1013=A165)*(Seguimientos!$F$2:$F$1013=F165)*(Seguimientos!$B$2:$B$1013&gt;B165)*(Seguimientos!$H$2:$H$1013&lt;&gt;""))=0,1,0))</f>
        <v/>
      </c>
      <c r="K165" s="7">
        <f>A165&amp;"|"&amp;B165</f>
        <v/>
      </c>
      <c r="L165" s="13" t="inlineStr">
        <is>
          <t>La Unidad de Apoyo Académico mediante la actualización del PROCEDIMIENTO GESTIÓN ADMINISTRATIVA AAAP01_V19 del 28 de noviembre del 2023 actualizan las actividades controles y registros resultantes del procedimiento. La Unidad de Apoyo Académico, cuenta con un aplicativo de solicitudes (SIS), el cual se encuentra en la plataforma institucional de la Universidad de Cundinamarca, dentro de este aplicativo se realiza la apertura para las solicitudes.</t>
        </is>
      </c>
    </row>
    <row r="166">
      <c r="A166" s="7" t="inlineStr">
        <is>
          <t>sgc-2023-12</t>
        </is>
      </c>
      <c r="B166" s="7" t="n">
        <v>2</v>
      </c>
      <c r="C166" s="7" t="inlineStr">
        <is>
          <t>SGC</t>
        </is>
      </c>
      <c r="D166" s="7" t="inlineStr">
        <is>
          <t>2023</t>
        </is>
      </c>
      <c r="E166" s="7" t="n">
        <v>12</v>
      </c>
      <c r="F166" s="8" t="n">
        <v>45497</v>
      </c>
      <c r="G166" s="7" t="inlineStr">
        <is>
          <t>DANIEL EDUARDO SOTO BERNAL</t>
        </is>
      </c>
      <c r="H166" s="14" t="n">
        <v>2</v>
      </c>
      <c r="I166" s="15">
        <f>IF(H166="","",H166/2)</f>
        <v/>
      </c>
      <c r="J166" s="7">
        <f>IF(H166="",0,IF(SUMPRODUCT((Seguimientos!$A$2:$A$1013=A166)*(Seguimientos!$F$2:$F$1013=F166)*(Seguimientos!$B$2:$B$1013&gt;B166)*(Seguimientos!$H$2:$H$1013&lt;&gt;""))=0,1,0))</f>
        <v/>
      </c>
      <c r="K166" s="7">
        <f>A166&amp;"|"&amp;B166</f>
        <v/>
      </c>
      <c r="L166" s="13" t="inlineStr">
        <is>
          <t>Para implementar la metodología de diagnóstico y priorización de necesidades de elementos educativos, la Unidad de Apoyo Académico abre anualmente el aplicativo "Solicitud de Elementos e Insumos" a través de Gestasoft. Este proceso permite a los gestores de espacios y conocimiento solicitar los elementos e insumos esenciales necesarios para las prácticas académicas en cada espacio de la Universidad de Cundinamarca. Durante el periodo de solicitud, la Unidad de Apoyo Académico genera reportes periódicos para asegurar que todas las solicitudes sean completadas correctamente. Al concluir esta fase, el gestor del proceso verifica y valida las solicitudes, eliminando duplicaciones y aquellas que requieren ser gestionadas como proyectos de inversión. Posteriormente, las necesidades priorizadas se cargan en el aplicativo "INTEGRADOC", donde la Dirección de Planeación revisa la información cargada y aprueba con el fin de que se asignen los recursos correspondientes en la siguiente vigencia.</t>
        </is>
      </c>
    </row>
    <row r="167">
      <c r="A167" s="7" t="inlineStr">
        <is>
          <t>sgc-2023-12</t>
        </is>
      </c>
      <c r="B167" s="7" t="n">
        <v>3</v>
      </c>
      <c r="C167" s="7" t="inlineStr">
        <is>
          <t>SGC</t>
        </is>
      </c>
      <c r="D167" s="7" t="inlineStr">
        <is>
          <t>2023</t>
        </is>
      </c>
      <c r="E167" s="7" t="n">
        <v>12</v>
      </c>
      <c r="F167" s="8" t="n">
        <v>45583</v>
      </c>
      <c r="G167" s="7" t="inlineStr">
        <is>
          <t>DANIEL EDUARDO SOTO BERNAL</t>
        </is>
      </c>
      <c r="H167" s="14" t="n">
        <v>2</v>
      </c>
      <c r="I167" s="15">
        <f>IF(H167="","",H167/2)</f>
        <v/>
      </c>
      <c r="J167" s="7">
        <f>IF(H167="",0,IF(SUMPRODUCT((Seguimientos!$A$2:$A$1013=A167)*(Seguimientos!$F$2:$F$1013=F167)*(Seguimientos!$B$2:$B$1013&gt;B167)*(Seguimientos!$H$2:$H$1013&lt;&gt;""))=0,1,0))</f>
        <v/>
      </c>
      <c r="K167" s="7">
        <f>A167&amp;"|"&amp;B167</f>
        <v/>
      </c>
      <c r="L167" s="13" t="inlineStr">
        <is>
          <t>ACTIVIDAD COMPLETADA</t>
        </is>
      </c>
    </row>
    <row r="168">
      <c r="A168" s="7" t="inlineStr">
        <is>
          <t>sgc-2023-12</t>
        </is>
      </c>
      <c r="B168" s="7" t="n">
        <v>4</v>
      </c>
      <c r="C168" s="7" t="inlineStr">
        <is>
          <t>SGC</t>
        </is>
      </c>
      <c r="D168" s="7" t="inlineStr">
        <is>
          <t>2023</t>
        </is>
      </c>
      <c r="E168" s="7" t="n">
        <v>12</v>
      </c>
      <c r="F168" s="8" t="n">
        <v>45777</v>
      </c>
      <c r="G168" s="7" t="inlineStr">
        <is>
          <t>DANIEL EDUARDO SOTO BERNAL</t>
        </is>
      </c>
      <c r="H168" s="14" t="n">
        <v>2</v>
      </c>
      <c r="I168" s="15">
        <f>IF(H168="","",H168/2)</f>
        <v/>
      </c>
      <c r="J168" s="7">
        <f>IF(H168="",0,IF(SUMPRODUCT((Seguimientos!$A$2:$A$1013=A168)*(Seguimientos!$F$2:$F$1013=F168)*(Seguimientos!$B$2:$B$1013&gt;B168)*(Seguimientos!$H$2:$H$1013&lt;&gt;""))=0,1,0))</f>
        <v/>
      </c>
      <c r="K168" s="7">
        <f>A168&amp;"|"&amp;B168</f>
        <v/>
      </c>
      <c r="L168" s="13" t="inlineStr">
        <is>
          <t>ACTIVIDAD COMPLETADA</t>
        </is>
      </c>
    </row>
    <row r="169">
      <c r="A169" s="7" t="inlineStr">
        <is>
          <t>sgc-2023-12</t>
        </is>
      </c>
      <c r="B169" s="7" t="n">
        <v>5</v>
      </c>
      <c r="C169" s="7" t="inlineStr">
        <is>
          <t>SGC</t>
        </is>
      </c>
      <c r="D169" s="7" t="inlineStr">
        <is>
          <t>2023</t>
        </is>
      </c>
      <c r="E169" s="7" t="n">
        <v>12</v>
      </c>
      <c r="F169" s="8" t="n">
        <v>45838</v>
      </c>
      <c r="G169" s="7" t="inlineStr">
        <is>
          <t>DANIEL EDUARDO SOTO BERNAL</t>
        </is>
      </c>
      <c r="H169" s="14" t="n">
        <v>2</v>
      </c>
      <c r="I169" s="15">
        <f>IF(H169="","",H169/2)</f>
        <v/>
      </c>
      <c r="J169" s="7">
        <f>IF(H169="",0,IF(SUMPRODUCT((Seguimientos!$A$2:$A$1013=A169)*(Seguimientos!$F$2:$F$1013=F169)*(Seguimientos!$B$2:$B$1013&gt;B169)*(Seguimientos!$H$2:$H$1013&lt;&gt;""))=0,1,0))</f>
        <v/>
      </c>
      <c r="K169" s="7">
        <f>A169&amp;"|"&amp;B169</f>
        <v/>
      </c>
      <c r="L169" s="13" t="inlineStr">
        <is>
          <t>ACTIVIDAD COMPLETADA</t>
        </is>
      </c>
    </row>
    <row r="170">
      <c r="A170" s="7" t="inlineStr">
        <is>
          <t>sgc-2023-12</t>
        </is>
      </c>
      <c r="B170" s="7" t="n">
        <v>6</v>
      </c>
      <c r="C170" s="7" t="inlineStr">
        <is>
          <t>SGC</t>
        </is>
      </c>
      <c r="D170" s="7" t="inlineStr">
        <is>
          <t>2023</t>
        </is>
      </c>
      <c r="E170" s="7" t="n">
        <v>12</v>
      </c>
      <c r="F170" s="8" t="n">
        <v>45930</v>
      </c>
      <c r="G170" s="7" t="inlineStr">
        <is>
          <t>JOAN IMAYINNE GALVIS MORENO</t>
        </is>
      </c>
      <c r="H170" s="14" t="n">
        <v>2</v>
      </c>
      <c r="I170" s="15">
        <f>IF(H170="","",H170/2)</f>
        <v/>
      </c>
      <c r="J170" s="7">
        <f>IF(H170="",0,IF(SUMPRODUCT((Seguimientos!$A$2:$A$1013=A170)*(Seguimientos!$F$2:$F$1013=F170)*(Seguimientos!$B$2:$B$1013&gt;B170)*(Seguimientos!$H$2:$H$1013&lt;&gt;""))=0,1,0))</f>
        <v/>
      </c>
      <c r="K170" s="7">
        <f>A170&amp;"|"&amp;B170</f>
        <v/>
      </c>
      <c r="L170" s="13" t="inlineStr">
        <is>
          <t>ACTIVIDAD COMPLETADA</t>
        </is>
      </c>
    </row>
    <row r="171">
      <c r="A171" s="7" t="inlineStr">
        <is>
          <t>sgc-2023-12</t>
        </is>
      </c>
      <c r="B171" s="7" t="n">
        <v>7</v>
      </c>
      <c r="C171" s="7" t="inlineStr">
        <is>
          <t>SGC</t>
        </is>
      </c>
      <c r="D171" s="7" t="inlineStr">
        <is>
          <t>2023</t>
        </is>
      </c>
      <c r="E171" s="7" t="n">
        <v>12</v>
      </c>
      <c r="F171" s="8" t="n">
        <v>46021</v>
      </c>
      <c r="G171" s="7" t="inlineStr">
        <is>
          <t>JOAN IMAYINNE GALVIS MORENO</t>
        </is>
      </c>
      <c r="H171" s="14" t="n">
        <v>2</v>
      </c>
      <c r="I171" s="15">
        <f>IF(H171="","",H171/2)</f>
        <v/>
      </c>
      <c r="J171" s="7">
        <f>IF(H171="",0,IF(SUMPRODUCT((Seguimientos!$A$2:$A$1013=A171)*(Seguimientos!$F$2:$F$1013=F171)*(Seguimientos!$B$2:$B$1013&gt;B171)*(Seguimientos!$H$2:$H$1013&lt;&gt;""))=0,1,0))</f>
        <v/>
      </c>
      <c r="K171" s="7">
        <f>A171&amp;"|"&amp;B171</f>
        <v/>
      </c>
      <c r="L171" s="13" t="inlineStr">
        <is>
          <t>ACTIVIDAD COMPLETADA</t>
        </is>
      </c>
    </row>
    <row r="172">
      <c r="A172" s="7" t="inlineStr">
        <is>
          <t>sgc-2023-12</t>
        </is>
      </c>
      <c r="B172" s="7" t="n">
        <v>8</v>
      </c>
      <c r="C172" s="7" t="inlineStr">
        <is>
          <t>SGC</t>
        </is>
      </c>
      <c r="D172" s="7" t="inlineStr">
        <is>
          <t>2023</t>
        </is>
      </c>
      <c r="E172" s="7" t="n">
        <v>12</v>
      </c>
      <c r="F172" s="8" t="n">
        <v>46142</v>
      </c>
      <c r="G172" s="7" t="inlineStr">
        <is>
          <t>JOAN IMAYINNE GALVIS MORENO</t>
        </is>
      </c>
      <c r="H172" s="14" t="n">
        <v>2</v>
      </c>
      <c r="I172" s="15">
        <f>IF(H172="","",H172/2)</f>
        <v/>
      </c>
      <c r="J172" s="7">
        <f>IF(H172="",0,IF(SUMPRODUCT((Seguimientos!$A$2:$A$1013=A172)*(Seguimientos!$F$2:$F$1013=F172)*(Seguimientos!$B$2:$B$1013&gt;B172)*(Seguimientos!$H$2:$H$1013&lt;&gt;""))=0,1,0))</f>
        <v/>
      </c>
      <c r="K172" s="7">
        <f>A172&amp;"|"&amp;B172</f>
        <v/>
      </c>
      <c r="L172" s="13" t="inlineStr">
        <is>
          <t>ACTIVIDAD COMPLETADA</t>
        </is>
      </c>
    </row>
    <row r="173">
      <c r="A173" s="7" t="inlineStr">
        <is>
          <t>sgc-2023-12</t>
        </is>
      </c>
      <c r="B173" s="7" t="n">
        <v>9</v>
      </c>
      <c r="C173" s="7" t="inlineStr">
        <is>
          <t>SGC</t>
        </is>
      </c>
      <c r="D173" s="7" t="inlineStr">
        <is>
          <t>2023</t>
        </is>
      </c>
      <c r="E173" s="7" t="n">
        <v>12</v>
      </c>
      <c r="F173" s="8" t="n">
        <v>46203</v>
      </c>
      <c r="G173" s="7" t="inlineStr">
        <is>
          <t>JOAN IMAYINNE GALVIS MORENO</t>
        </is>
      </c>
      <c r="H173" s="14" t="n">
        <v>2</v>
      </c>
      <c r="I173" s="15">
        <f>IF(H173="","",H173/2)</f>
        <v/>
      </c>
      <c r="J173" s="7">
        <f>IF(H173="",0,IF(SUMPRODUCT((Seguimientos!$A$2:$A$1013=A173)*(Seguimientos!$F$2:$F$1013=F173)*(Seguimientos!$B$2:$B$1013&gt;B173)*(Seguimientos!$H$2:$H$1013&lt;&gt;""))=0,1,0))</f>
        <v/>
      </c>
      <c r="K173" s="7">
        <f>A173&amp;"|"&amp;B173</f>
        <v/>
      </c>
      <c r="L173" s="13" t="inlineStr">
        <is>
          <t>ACTIVIDAD COMPLETADA</t>
        </is>
      </c>
    </row>
    <row r="174">
      <c r="A174" s="7" t="inlineStr">
        <is>
          <t>sgc-2023-13</t>
        </is>
      </c>
      <c r="B174" s="7" t="n">
        <v>1</v>
      </c>
      <c r="C174" s="7" t="inlineStr">
        <is>
          <t>SGC</t>
        </is>
      </c>
      <c r="D174" s="7" t="inlineStr">
        <is>
          <t>2023</t>
        </is>
      </c>
      <c r="E174" s="7" t="n">
        <v>13</v>
      </c>
      <c r="F174" s="8" t="n">
        <v>45405</v>
      </c>
      <c r="G174" s="7" t="inlineStr">
        <is>
          <t>DANIEL EDUARDO SOTO BERNAL</t>
        </is>
      </c>
      <c r="H174" s="14" t="n">
        <v>1</v>
      </c>
      <c r="I174" s="15">
        <f>IF(H174="","",H174/2)</f>
        <v/>
      </c>
      <c r="J174" s="7">
        <f>IF(H174="",0,IF(SUMPRODUCT((Seguimientos!$A$2:$A$1013=A174)*(Seguimientos!$F$2:$F$1013=F174)*(Seguimientos!$B$2:$B$1013&gt;B174)*(Seguimientos!$H$2:$H$1013&lt;&gt;""))=0,1,0))</f>
        <v/>
      </c>
      <c r="K174" s="7">
        <f>A174&amp;"|"&amp;B174</f>
        <v/>
      </c>
      <c r="L174" s="13" t="inlineStr">
        <is>
          <t>Se realiza la consulta al equipo de Desarrollo de Sistemas de información, donde informan: - La necesidad de mejorar el aplicativo SNC ha sido agregado en la lista de priorización desde la vigencia 2022, sin embargo no fue priorizado por la alta dirección.</t>
        </is>
      </c>
    </row>
    <row r="175">
      <c r="A175" s="7" t="inlineStr">
        <is>
          <t>sgc-2023-13</t>
        </is>
      </c>
      <c r="B175" s="7" t="n">
        <v>2</v>
      </c>
      <c r="C175" s="7" t="inlineStr">
        <is>
          <t>SGC</t>
        </is>
      </c>
      <c r="D175" s="7" t="inlineStr">
        <is>
          <t>2023</t>
        </is>
      </c>
      <c r="E175" s="7" t="n">
        <v>13</v>
      </c>
      <c r="F175" s="8" t="n">
        <v>45497</v>
      </c>
      <c r="G175" s="7" t="inlineStr">
        <is>
          <t>DANIEL EDUARDO SOTO BERNAL</t>
        </is>
      </c>
      <c r="H175" s="14" t="n">
        <v>1</v>
      </c>
      <c r="I175" s="15">
        <f>IF(H175="","",H175/2)</f>
        <v/>
      </c>
      <c r="J175" s="7">
        <f>IF(H175="",0,IF(SUMPRODUCT((Seguimientos!$A$2:$A$1013=A175)*(Seguimientos!$F$2:$F$1013=F175)*(Seguimientos!$B$2:$B$1013&gt;B175)*(Seguimientos!$H$2:$H$1013&lt;&gt;""))=0,1,0))</f>
        <v/>
      </c>
      <c r="K175" s="7">
        <f>A175&amp;"|"&amp;B175</f>
        <v/>
      </c>
      <c r="L175" s="13" t="inlineStr">
        <is>
          <t>Se realiza priorización del componente de sistematización de la herramienta para el seguimiento de salidas no conformes por medio de la Herramienta Integradoc, debido a que este desarrollo y su actualización no quedó dentro del cronograma de priorización de la Dirección de Sistemas y Tecnología aprobado por la alta Dirección para la Vigencia 2024. / Calidad Se realiza el cargue de correo y matriz dirigido a la alta Dirección con la lista para priorización. / Sistemas Y Tecnología.</t>
        </is>
      </c>
    </row>
    <row r="176">
      <c r="A176" s="7" t="inlineStr">
        <is>
          <t>sgc-2023-13</t>
        </is>
      </c>
      <c r="B176" s="7" t="n">
        <v>3</v>
      </c>
      <c r="C176" s="7" t="inlineStr">
        <is>
          <t>SGC</t>
        </is>
      </c>
      <c r="D176" s="7" t="inlineStr">
        <is>
          <t>2023</t>
        </is>
      </c>
      <c r="E176" s="7" t="n">
        <v>13</v>
      </c>
      <c r="F176" s="8" t="n">
        <v>45583</v>
      </c>
      <c r="G176" s="7" t="inlineStr">
        <is>
          <t>DANIEL EDUARDO SOTO BERNAL</t>
        </is>
      </c>
      <c r="H176" s="14" t="n">
        <v>1</v>
      </c>
      <c r="I176" s="15">
        <f>IF(H176="","",H176/2)</f>
        <v/>
      </c>
      <c r="J176" s="7">
        <f>IF(H176="",0,IF(SUMPRODUCT((Seguimientos!$A$2:$A$1013=A176)*(Seguimientos!$F$2:$F$1013=F176)*(Seguimientos!$B$2:$B$1013&gt;B176)*(Seguimientos!$H$2:$H$1013&lt;&gt;""))=0,1,0))</f>
        <v/>
      </c>
      <c r="K176" s="7">
        <f>A176&amp;"|"&amp;B176</f>
        <v/>
      </c>
      <c r="L176" s="13" t="inlineStr">
        <is>
          <t>Se esta realizando la valoración si el proceso se debe llevar por la herramienta actual o se traslada.</t>
        </is>
      </c>
    </row>
    <row r="177">
      <c r="A177" s="7" t="inlineStr">
        <is>
          <t>sgc-2023-13</t>
        </is>
      </c>
      <c r="B177" s="7" t="n">
        <v>4</v>
      </c>
      <c r="C177" s="7" t="inlineStr">
        <is>
          <t>SGC</t>
        </is>
      </c>
      <c r="D177" s="7" t="inlineStr">
        <is>
          <t>2023</t>
        </is>
      </c>
      <c r="E177" s="7" t="n">
        <v>13</v>
      </c>
      <c r="F177" s="8" t="n">
        <v>45777</v>
      </c>
      <c r="G177" s="7" t="inlineStr">
        <is>
          <t>DANIEL EDUARDO SOTO BERNAL</t>
        </is>
      </c>
      <c r="H177" s="14" t="n">
        <v>1</v>
      </c>
      <c r="I177" s="15">
        <f>IF(H177="","",H177/2)</f>
        <v/>
      </c>
      <c r="J177" s="7">
        <f>IF(H177="",0,IF(SUMPRODUCT((Seguimientos!$A$2:$A$1013=A177)*(Seguimientos!$F$2:$F$1013=F177)*(Seguimientos!$B$2:$B$1013&gt;B177)*(Seguimientos!$H$2:$H$1013&lt;&gt;""))=0,1,0))</f>
        <v/>
      </c>
      <c r="K177" s="7">
        <f>A177&amp;"|"&amp;B177</f>
        <v/>
      </c>
      <c r="L177" s="13" t="inlineStr">
        <is>
          <t>Actividad pendiente por cumplir, No soportan evidencia.</t>
        </is>
      </c>
    </row>
    <row r="178">
      <c r="A178" s="7" t="inlineStr">
        <is>
          <t>sgc-2023-13</t>
        </is>
      </c>
      <c r="B178" s="7" t="n">
        <v>5</v>
      </c>
      <c r="C178" s="7" t="inlineStr">
        <is>
          <t>SGC</t>
        </is>
      </c>
      <c r="D178" s="7" t="inlineStr">
        <is>
          <t>2023</t>
        </is>
      </c>
      <c r="E178" s="7" t="n">
        <v>13</v>
      </c>
      <c r="F178" s="8" t="n">
        <v>45838</v>
      </c>
      <c r="G178" s="7" t="inlineStr">
        <is>
          <t>DANIEL EDUARDO SOTO BERNAL</t>
        </is>
      </c>
      <c r="H178" s="14" t="n">
        <v>1</v>
      </c>
      <c r="I178" s="15">
        <f>IF(H178="","",H178/2)</f>
        <v/>
      </c>
      <c r="J178" s="7">
        <f>IF(H178="",0,IF(SUMPRODUCT((Seguimientos!$A$2:$A$1013=A178)*(Seguimientos!$F$2:$F$1013=F178)*(Seguimientos!$B$2:$B$1013&gt;B178)*(Seguimientos!$H$2:$H$1013&lt;&gt;""))=0,1,0))</f>
        <v/>
      </c>
      <c r="K178" s="7">
        <f>A178&amp;"|"&amp;B178</f>
        <v/>
      </c>
      <c r="L178" s="13" t="inlineStr">
        <is>
          <t>Actividad pendiente por cumplir, No soportan evidencia.</t>
        </is>
      </c>
    </row>
    <row r="179">
      <c r="A179" s="7" t="inlineStr">
        <is>
          <t>sgc-2023-13</t>
        </is>
      </c>
      <c r="B179" s="7" t="n">
        <v>6</v>
      </c>
      <c r="C179" s="7" t="inlineStr">
        <is>
          <t>SGC</t>
        </is>
      </c>
      <c r="D179" s="7" t="inlineStr">
        <is>
          <t>2023</t>
        </is>
      </c>
      <c r="E179" s="7" t="n">
        <v>13</v>
      </c>
      <c r="F179" s="8" t="n">
        <v>45930</v>
      </c>
      <c r="G179" s="7" t="inlineStr">
        <is>
          <t>JOAN IMAYINNE GALVIS MORENO</t>
        </is>
      </c>
      <c r="H179" s="14" t="n">
        <v>2</v>
      </c>
      <c r="I179" s="15">
        <f>IF(H179="","",H179/2)</f>
        <v/>
      </c>
      <c r="J179" s="7">
        <f>IF(H179="",0,IF(SUMPRODUCT((Seguimientos!$A$2:$A$1013=A179)*(Seguimientos!$F$2:$F$1013=F179)*(Seguimientos!$B$2:$B$1013&gt;B179)*(Seguimientos!$H$2:$H$1013&lt;&gt;""))=0,1,0))</f>
        <v/>
      </c>
      <c r="K179" s="7">
        <f>A179&amp;"|"&amp;B179</f>
        <v/>
      </c>
      <c r="L179" s="13" t="inlineStr">
        <is>
          <t>Se adjuntan correos electronicos por parte de la Dirección de Sistemas y tecnolgia en donde se informa la priorización del desarrollo de slidas no conformes justo a la trazabilidad del ejercicio y se adjunta correo con la entrega de la priorización. Dando por cerrada la actividad</t>
        </is>
      </c>
    </row>
    <row r="180">
      <c r="A180" s="7" t="inlineStr">
        <is>
          <t>sgc-2023-13</t>
        </is>
      </c>
      <c r="B180" s="7" t="n">
        <v>7</v>
      </c>
      <c r="C180" s="7" t="inlineStr">
        <is>
          <t>SGC</t>
        </is>
      </c>
      <c r="D180" s="7" t="inlineStr">
        <is>
          <t>2023</t>
        </is>
      </c>
      <c r="E180" s="7" t="n">
        <v>13</v>
      </c>
      <c r="F180" s="8" t="n">
        <v>46021</v>
      </c>
      <c r="G180" s="7" t="inlineStr">
        <is>
          <t>JOAN IMAYINNE GALVIS MORENO</t>
        </is>
      </c>
      <c r="H180" s="14" t="n">
        <v>2</v>
      </c>
      <c r="I180" s="15">
        <f>IF(H180="","",H180/2)</f>
        <v/>
      </c>
      <c r="J180" s="7">
        <f>IF(H180="",0,IF(SUMPRODUCT((Seguimientos!$A$2:$A$1013=A180)*(Seguimientos!$F$2:$F$1013=F180)*(Seguimientos!$B$2:$B$1013&gt;B180)*(Seguimientos!$H$2:$H$1013&lt;&gt;""))=0,1,0))</f>
        <v/>
      </c>
      <c r="K180" s="7">
        <f>A180&amp;"|"&amp;B180</f>
        <v/>
      </c>
      <c r="L180" s="13" t="inlineStr">
        <is>
          <t>ACTIVIDAD COMPLETADA</t>
        </is>
      </c>
    </row>
    <row r="181">
      <c r="A181" s="7" t="inlineStr">
        <is>
          <t>sgc-2023-13</t>
        </is>
      </c>
      <c r="B181" s="7" t="n">
        <v>8</v>
      </c>
      <c r="C181" s="7" t="inlineStr">
        <is>
          <t>SGC</t>
        </is>
      </c>
      <c r="D181" s="7" t="inlineStr">
        <is>
          <t>2023</t>
        </is>
      </c>
      <c r="E181" s="7" t="n">
        <v>13</v>
      </c>
      <c r="F181" s="8" t="n">
        <v>46142</v>
      </c>
      <c r="G181" s="7" t="inlineStr">
        <is>
          <t>JOAN IMAYINNE GALVIS MORENO</t>
        </is>
      </c>
      <c r="H181" s="14" t="n">
        <v>2</v>
      </c>
      <c r="I181" s="15">
        <f>IF(H181="","",H181/2)</f>
        <v/>
      </c>
      <c r="J181" s="7">
        <f>IF(H181="",0,IF(SUMPRODUCT((Seguimientos!$A$2:$A$1013=A181)*(Seguimientos!$F$2:$F$1013=F181)*(Seguimientos!$B$2:$B$1013&gt;B181)*(Seguimientos!$H$2:$H$1013&lt;&gt;""))=0,1,0))</f>
        <v/>
      </c>
      <c r="K181" s="7">
        <f>A181&amp;"|"&amp;B181</f>
        <v/>
      </c>
      <c r="L181" s="13" t="inlineStr">
        <is>
          <t>ACTIVIDAD COMPLETADA</t>
        </is>
      </c>
    </row>
    <row r="182">
      <c r="A182" s="7" t="inlineStr">
        <is>
          <t>sgc-2023-13</t>
        </is>
      </c>
      <c r="B182" s="7" t="n">
        <v>9</v>
      </c>
      <c r="C182" s="7" t="inlineStr">
        <is>
          <t>SGC</t>
        </is>
      </c>
      <c r="D182" s="7" t="inlineStr">
        <is>
          <t>2023</t>
        </is>
      </c>
      <c r="E182" s="7" t="n">
        <v>13</v>
      </c>
      <c r="F182" s="8" t="n">
        <v>46203</v>
      </c>
      <c r="G182" s="7" t="inlineStr">
        <is>
          <t>JOAN IMAYINNE GALVIS MORENO</t>
        </is>
      </c>
      <c r="H182" s="14" t="n">
        <v>2</v>
      </c>
      <c r="I182" s="15">
        <f>IF(H182="","",H182/2)</f>
        <v/>
      </c>
      <c r="J182" s="7">
        <f>IF(H182="",0,IF(SUMPRODUCT((Seguimientos!$A$2:$A$1013=A182)*(Seguimientos!$F$2:$F$1013=F182)*(Seguimientos!$B$2:$B$1013&gt;B182)*(Seguimientos!$H$2:$H$1013&lt;&gt;""))=0,1,0))</f>
        <v/>
      </c>
      <c r="K182" s="7">
        <f>A182&amp;"|"&amp;B182</f>
        <v/>
      </c>
      <c r="L182" s="13" t="inlineStr">
        <is>
          <t>ACTIVIDAD COMPLETADA</t>
        </is>
      </c>
    </row>
    <row r="183">
      <c r="A183" s="7" t="inlineStr">
        <is>
          <t>sgc-2023-14</t>
        </is>
      </c>
      <c r="B183" s="7" t="n">
        <v>1</v>
      </c>
      <c r="C183" s="7" t="inlineStr">
        <is>
          <t>SGC</t>
        </is>
      </c>
      <c r="D183" s="7" t="inlineStr">
        <is>
          <t>2023</t>
        </is>
      </c>
      <c r="E183" s="7" t="n">
        <v>14</v>
      </c>
      <c r="F183" s="8" t="n">
        <v>45405</v>
      </c>
      <c r="G183" s="7" t="inlineStr">
        <is>
          <t>DANIEL EDUARDO SOTO BERNAL</t>
        </is>
      </c>
      <c r="H183" s="14" t="n">
        <v>0</v>
      </c>
      <c r="I183" s="15">
        <f>IF(H183="","",H183/2)</f>
        <v/>
      </c>
      <c r="J183" s="7">
        <f>IF(H183="",0,IF(SUMPRODUCT((Seguimientos!$A$2:$A$1013=A183)*(Seguimientos!$F$2:$F$1013=F183)*(Seguimientos!$B$2:$B$1013&gt;B183)*(Seguimientos!$H$2:$H$1013&lt;&gt;""))=0,1,0))</f>
        <v/>
      </c>
      <c r="K183" s="7">
        <f>A183&amp;"|"&amp;B183</f>
        <v/>
      </c>
      <c r="L183" s="13" t="inlineStr">
        <is>
          <t>Actividad pendiente por cumplir, No soportan evidencia.</t>
        </is>
      </c>
    </row>
    <row r="184">
      <c r="A184" s="7" t="inlineStr">
        <is>
          <t>sgc-2023-14</t>
        </is>
      </c>
      <c r="B184" s="7" t="n">
        <v>2</v>
      </c>
      <c r="C184" s="7" t="inlineStr">
        <is>
          <t>SGC</t>
        </is>
      </c>
      <c r="D184" s="7" t="inlineStr">
        <is>
          <t>2023</t>
        </is>
      </c>
      <c r="E184" s="7" t="n">
        <v>14</v>
      </c>
      <c r="F184" s="8" t="n">
        <v>45497</v>
      </c>
      <c r="G184" s="7" t="inlineStr">
        <is>
          <t>DANIEL EDUARDO SOTO BERNAL</t>
        </is>
      </c>
      <c r="H184" s="14" t="n">
        <v>1</v>
      </c>
      <c r="I184" s="15">
        <f>IF(H184="","",H184/2)</f>
        <v/>
      </c>
      <c r="J184" s="7">
        <f>IF(H184="",0,IF(SUMPRODUCT((Seguimientos!$A$2:$A$1013=A184)*(Seguimientos!$F$2:$F$1013=F184)*(Seguimientos!$B$2:$B$1013&gt;B184)*(Seguimientos!$H$2:$H$1013&lt;&gt;""))=0,1,0))</f>
        <v/>
      </c>
      <c r="K184" s="7">
        <f>A184&amp;"|"&amp;B184</f>
        <v/>
      </c>
      <c r="L184" s="13" t="inlineStr">
        <is>
          <t>La Dirección e Talento Humano, presenta cronograma de serie de capacitaciones proyectado para los cuatro trimestre de la vigencia 2024, al igual que PLAN INSTITUCIONAL DE CAPACITACION DE PERSONAL ADMINISTRATIVO, la actividad planteada muestra avance y se espera al termino de tres cuartas partes del cronograma establecido para dar cierre eficaz.</t>
        </is>
      </c>
    </row>
    <row r="185">
      <c r="A185" s="7" t="inlineStr">
        <is>
          <t>sgc-2023-14</t>
        </is>
      </c>
      <c r="B185" s="7" t="n">
        <v>3</v>
      </c>
      <c r="C185" s="7" t="inlineStr">
        <is>
          <t>SGC</t>
        </is>
      </c>
      <c r="D185" s="7" t="inlineStr">
        <is>
          <t>2023</t>
        </is>
      </c>
      <c r="E185" s="7" t="n">
        <v>14</v>
      </c>
      <c r="F185" s="8" t="n">
        <v>45583</v>
      </c>
      <c r="G185" s="7" t="inlineStr">
        <is>
          <t>DANIEL EDUARDO SOTO BERNAL</t>
        </is>
      </c>
      <c r="H185" s="14" t="n">
        <v>2</v>
      </c>
      <c r="I185" s="15">
        <f>IF(H185="","",H185/2)</f>
        <v/>
      </c>
      <c r="J185" s="7">
        <f>IF(H185="",0,IF(SUMPRODUCT((Seguimientos!$A$2:$A$1013=A185)*(Seguimientos!$F$2:$F$1013=F185)*(Seguimientos!$B$2:$B$1013&gt;B185)*(Seguimientos!$H$2:$H$1013&lt;&gt;""))=0,1,0))</f>
        <v/>
      </c>
      <c r="K185" s="7">
        <f>A185&amp;"|"&amp;B185</f>
        <v/>
      </c>
      <c r="L185" s="13" t="inlineStr">
        <is>
          <t>Las actividades de fortalecimiento de competencias y habilidades del personal administrativo, se encuentra plasmado en el Plan Institucional de Capacitación, publicado a través del enlace de transparencia. Las actividades o cronograma de actividades anuales, son establecidas a través del Programa de Capacitación (ATHr170). Nota: Ambos documentos son presentados y aprobados por el Comité de Formación y Capacitación al inicio de cada vigencia. En virtud de lo establecido en el punto 1, se solicitó a la Oficina de Educación Virtual y a Distancia (OEVAD) el diseño de cursos virtuales que atienden a las necesidades del personal. Dichas necesidades fueron expuestas por las áreas a través de formularios FORMS para vigencias pasadas. Además, de los lineamientos establecidos a través del Plan Nacional de Capacitación</t>
        </is>
      </c>
    </row>
    <row r="186">
      <c r="A186" s="7" t="inlineStr">
        <is>
          <t>sgc-2023-14</t>
        </is>
      </c>
      <c r="B186" s="7" t="n">
        <v>4</v>
      </c>
      <c r="C186" s="7" t="inlineStr">
        <is>
          <t>SGC</t>
        </is>
      </c>
      <c r="D186" s="7" t="inlineStr">
        <is>
          <t>2023</t>
        </is>
      </c>
      <c r="E186" s="7" t="n">
        <v>14</v>
      </c>
      <c r="F186" s="8" t="n">
        <v>45777</v>
      </c>
      <c r="G186" s="7" t="inlineStr">
        <is>
          <t>DANIEL EDUARDO SOTO BERNAL</t>
        </is>
      </c>
      <c r="H186" s="14" t="n">
        <v>2</v>
      </c>
      <c r="I186" s="15">
        <f>IF(H186="","",H186/2)</f>
        <v/>
      </c>
      <c r="J186" s="7">
        <f>IF(H186="",0,IF(SUMPRODUCT((Seguimientos!$A$2:$A$1013=A186)*(Seguimientos!$F$2:$F$1013=F186)*(Seguimientos!$B$2:$B$1013&gt;B186)*(Seguimientos!$H$2:$H$1013&lt;&gt;""))=0,1,0))</f>
        <v/>
      </c>
      <c r="K186" s="7">
        <f>A186&amp;"|"&amp;B186</f>
        <v/>
      </c>
      <c r="L186" s="13" t="inlineStr">
        <is>
          <t>ACTIVIDAD COMPLETADA</t>
        </is>
      </c>
    </row>
    <row r="187">
      <c r="A187" s="7" t="inlineStr">
        <is>
          <t>sgc-2023-14</t>
        </is>
      </c>
      <c r="B187" s="7" t="n">
        <v>5</v>
      </c>
      <c r="C187" s="7" t="inlineStr">
        <is>
          <t>SGC</t>
        </is>
      </c>
      <c r="D187" s="7" t="inlineStr">
        <is>
          <t>2023</t>
        </is>
      </c>
      <c r="E187" s="7" t="n">
        <v>14</v>
      </c>
      <c r="F187" s="8" t="n">
        <v>45838</v>
      </c>
      <c r="G187" s="7" t="inlineStr">
        <is>
          <t>DANIEL EDUARDO SOTO BERNAL</t>
        </is>
      </c>
      <c r="H187" s="14" t="n">
        <v>2</v>
      </c>
      <c r="I187" s="15">
        <f>IF(H187="","",H187/2)</f>
        <v/>
      </c>
      <c r="J187" s="7">
        <f>IF(H187="",0,IF(SUMPRODUCT((Seguimientos!$A$2:$A$1013=A187)*(Seguimientos!$F$2:$F$1013=F187)*(Seguimientos!$B$2:$B$1013&gt;B187)*(Seguimientos!$H$2:$H$1013&lt;&gt;""))=0,1,0))</f>
        <v/>
      </c>
      <c r="K187" s="7">
        <f>A187&amp;"|"&amp;B187</f>
        <v/>
      </c>
      <c r="L187" s="13" t="inlineStr">
        <is>
          <t>ACTIVIDAD COMPLETADA</t>
        </is>
      </c>
    </row>
    <row r="188">
      <c r="A188" s="7" t="inlineStr">
        <is>
          <t>sgc-2023-14</t>
        </is>
      </c>
      <c r="B188" s="7" t="n">
        <v>6</v>
      </c>
      <c r="C188" s="7" t="inlineStr">
        <is>
          <t>SGC</t>
        </is>
      </c>
      <c r="D188" s="7" t="inlineStr">
        <is>
          <t>2023</t>
        </is>
      </c>
      <c r="E188" s="7" t="n">
        <v>14</v>
      </c>
      <c r="F188" s="8" t="n">
        <v>45930</v>
      </c>
      <c r="G188" s="7" t="inlineStr">
        <is>
          <t>JOAN IMAYINNE GALVIS MORENO</t>
        </is>
      </c>
      <c r="H188" s="14" t="n">
        <v>2</v>
      </c>
      <c r="I188" s="15">
        <f>IF(H188="","",H188/2)</f>
        <v/>
      </c>
      <c r="J188" s="7">
        <f>IF(H188="",0,IF(SUMPRODUCT((Seguimientos!$A$2:$A$1013=A188)*(Seguimientos!$F$2:$F$1013=F188)*(Seguimientos!$B$2:$B$1013&gt;B188)*(Seguimientos!$H$2:$H$1013&lt;&gt;""))=0,1,0))</f>
        <v/>
      </c>
      <c r="K188" s="7">
        <f>A188&amp;"|"&amp;B188</f>
        <v/>
      </c>
      <c r="L188" s="13" t="inlineStr">
        <is>
          <t>ACTIVIDAD COMPLETADA</t>
        </is>
      </c>
    </row>
    <row r="189">
      <c r="A189" s="7" t="inlineStr">
        <is>
          <t>sgc-2023-14</t>
        </is>
      </c>
      <c r="B189" s="7" t="n">
        <v>7</v>
      </c>
      <c r="C189" s="7" t="inlineStr">
        <is>
          <t>SGC</t>
        </is>
      </c>
      <c r="D189" s="7" t="inlineStr">
        <is>
          <t>2023</t>
        </is>
      </c>
      <c r="E189" s="7" t="n">
        <v>14</v>
      </c>
      <c r="F189" s="8" t="n">
        <v>46021</v>
      </c>
      <c r="G189" s="7" t="inlineStr">
        <is>
          <t>JOAN IMAYINNE GALVIS MORENO</t>
        </is>
      </c>
      <c r="H189" s="14" t="n">
        <v>2</v>
      </c>
      <c r="I189" s="15">
        <f>IF(H189="","",H189/2)</f>
        <v/>
      </c>
      <c r="J189" s="7">
        <f>IF(H189="",0,IF(SUMPRODUCT((Seguimientos!$A$2:$A$1013=A189)*(Seguimientos!$F$2:$F$1013=F189)*(Seguimientos!$B$2:$B$1013&gt;B189)*(Seguimientos!$H$2:$H$1013&lt;&gt;""))=0,1,0))</f>
        <v/>
      </c>
      <c r="K189" s="7">
        <f>A189&amp;"|"&amp;B189</f>
        <v/>
      </c>
      <c r="L189" s="13" t="inlineStr">
        <is>
          <t>ACTIVIDAD COMPLETADA</t>
        </is>
      </c>
    </row>
    <row r="190">
      <c r="A190" s="7" t="inlineStr">
        <is>
          <t>sgc-2023-14</t>
        </is>
      </c>
      <c r="B190" s="7" t="n">
        <v>8</v>
      </c>
      <c r="C190" s="7" t="inlineStr">
        <is>
          <t>SGC</t>
        </is>
      </c>
      <c r="D190" s="7" t="inlineStr">
        <is>
          <t>2023</t>
        </is>
      </c>
      <c r="E190" s="7" t="n">
        <v>14</v>
      </c>
      <c r="F190" s="8" t="n">
        <v>46142</v>
      </c>
      <c r="G190" s="7" t="inlineStr">
        <is>
          <t>JOAN IMAYINNE GALVIS MORENO</t>
        </is>
      </c>
      <c r="H190" s="14" t="n">
        <v>2</v>
      </c>
      <c r="I190" s="15">
        <f>IF(H190="","",H190/2)</f>
        <v/>
      </c>
      <c r="J190" s="7">
        <f>IF(H190="",0,IF(SUMPRODUCT((Seguimientos!$A$2:$A$1013=A190)*(Seguimientos!$F$2:$F$1013=F190)*(Seguimientos!$B$2:$B$1013&gt;B190)*(Seguimientos!$H$2:$H$1013&lt;&gt;""))=0,1,0))</f>
        <v/>
      </c>
      <c r="K190" s="7">
        <f>A190&amp;"|"&amp;B190</f>
        <v/>
      </c>
      <c r="L190" s="13" t="inlineStr">
        <is>
          <t>ACTIVIDAD COMPLETADA</t>
        </is>
      </c>
    </row>
    <row r="191">
      <c r="A191" s="7" t="inlineStr">
        <is>
          <t>sgc-2023-14</t>
        </is>
      </c>
      <c r="B191" s="7" t="n">
        <v>9</v>
      </c>
      <c r="C191" s="7" t="inlineStr">
        <is>
          <t>SGC</t>
        </is>
      </c>
      <c r="D191" s="7" t="inlineStr">
        <is>
          <t>2023</t>
        </is>
      </c>
      <c r="E191" s="7" t="n">
        <v>14</v>
      </c>
      <c r="F191" s="8" t="n">
        <v>46203</v>
      </c>
      <c r="G191" s="7" t="inlineStr">
        <is>
          <t>JOAN IMAYINNE GALVIS MORENO</t>
        </is>
      </c>
      <c r="H191" s="14" t="n">
        <v>2</v>
      </c>
      <c r="I191" s="15">
        <f>IF(H191="","",H191/2)</f>
        <v/>
      </c>
      <c r="J191" s="7">
        <f>IF(H191="",0,IF(SUMPRODUCT((Seguimientos!$A$2:$A$1013=A191)*(Seguimientos!$F$2:$F$1013=F191)*(Seguimientos!$B$2:$B$1013&gt;B191)*(Seguimientos!$H$2:$H$1013&lt;&gt;""))=0,1,0))</f>
        <v/>
      </c>
      <c r="K191" s="7">
        <f>A191&amp;"|"&amp;B191</f>
        <v/>
      </c>
      <c r="L191" s="13" t="inlineStr">
        <is>
          <t>ACTIVIDAD COMPLETADA</t>
        </is>
      </c>
    </row>
    <row r="192">
      <c r="A192" s="7" t="inlineStr">
        <is>
          <t>sgc-2023-15</t>
        </is>
      </c>
      <c r="B192" s="7" t="n">
        <v>1</v>
      </c>
      <c r="C192" s="7" t="inlineStr">
        <is>
          <t>SGC</t>
        </is>
      </c>
      <c r="D192" s="7" t="inlineStr">
        <is>
          <t>2023</t>
        </is>
      </c>
      <c r="E192" s="7" t="n">
        <v>15</v>
      </c>
      <c r="F192" s="8" t="n">
        <v>45405</v>
      </c>
      <c r="G192" s="7" t="inlineStr">
        <is>
          <t>DANIEL EDUARDO SOTO BERNAL</t>
        </is>
      </c>
      <c r="H192" s="14" t="n">
        <v>2</v>
      </c>
      <c r="I192" s="15">
        <f>IF(H192="","",H192/2)</f>
        <v/>
      </c>
      <c r="J192" s="7">
        <f>IF(H192="",0,IF(SUMPRODUCT((Seguimientos!$A$2:$A$1013=A192)*(Seguimientos!$F$2:$F$1013=F192)*(Seguimientos!$B$2:$B$1013&gt;B192)*(Seguimientos!$H$2:$H$1013&lt;&gt;""))=0,1,0))</f>
        <v/>
      </c>
      <c r="K192" s="7">
        <f>A192&amp;"|"&amp;B192</f>
        <v/>
      </c>
      <c r="L192" s="13" t="inlineStr">
        <is>
          <t>Se realiza entrega de informe donde se encuentra el avance del plan estratégico de tecnologías de la información - PETI (2024-2027), en este mismo informe se encuentran las iniciativas claves que contribuyen al avance hacia una experiencia educativa y administrativa digital.</t>
        </is>
      </c>
    </row>
    <row r="193">
      <c r="A193" s="7" t="inlineStr">
        <is>
          <t>sgc-2023-15</t>
        </is>
      </c>
      <c r="B193" s="7" t="n">
        <v>2</v>
      </c>
      <c r="C193" s="7" t="inlineStr">
        <is>
          <t>SGC</t>
        </is>
      </c>
      <c r="D193" s="7" t="inlineStr">
        <is>
          <t>2023</t>
        </is>
      </c>
      <c r="E193" s="7" t="n">
        <v>15</v>
      </c>
      <c r="F193" s="8" t="n">
        <v>45497</v>
      </c>
      <c r="G193" s="7" t="inlineStr">
        <is>
          <t>DANIEL EDUARDO SOTO BERNAL</t>
        </is>
      </c>
      <c r="H193" s="14" t="n">
        <v>2</v>
      </c>
      <c r="I193" s="15">
        <f>IF(H193="","",H193/2)</f>
        <v/>
      </c>
      <c r="J193" s="7">
        <f>IF(H193="",0,IF(SUMPRODUCT((Seguimientos!$A$2:$A$1013=A193)*(Seguimientos!$F$2:$F$1013=F193)*(Seguimientos!$B$2:$B$1013&gt;B193)*(Seguimientos!$H$2:$H$1013&lt;&gt;""))=0,1,0))</f>
        <v/>
      </c>
      <c r="K193" s="7">
        <f>A193&amp;"|"&amp;B193</f>
        <v/>
      </c>
      <c r="L193" s="13" t="inlineStr">
        <is>
          <t>ACTIVIDAD COMPLETADA</t>
        </is>
      </c>
    </row>
    <row r="194">
      <c r="A194" s="7" t="inlineStr">
        <is>
          <t>sgc-2023-15</t>
        </is>
      </c>
      <c r="B194" s="7" t="n">
        <v>3</v>
      </c>
      <c r="C194" s="7" t="inlineStr">
        <is>
          <t>SGC</t>
        </is>
      </c>
      <c r="D194" s="7" t="inlineStr">
        <is>
          <t>2023</t>
        </is>
      </c>
      <c r="E194" s="7" t="n">
        <v>15</v>
      </c>
      <c r="F194" s="8" t="n">
        <v>45583</v>
      </c>
      <c r="G194" s="7" t="inlineStr">
        <is>
          <t>DANIEL EDUARDO SOTO BERNAL</t>
        </is>
      </c>
      <c r="H194" s="14" t="n">
        <v>2</v>
      </c>
      <c r="I194" s="15">
        <f>IF(H194="","",H194/2)</f>
        <v/>
      </c>
      <c r="J194" s="7">
        <f>IF(H194="",0,IF(SUMPRODUCT((Seguimientos!$A$2:$A$1013=A194)*(Seguimientos!$F$2:$F$1013=F194)*(Seguimientos!$B$2:$B$1013&gt;B194)*(Seguimientos!$H$2:$H$1013&lt;&gt;""))=0,1,0))</f>
        <v/>
      </c>
      <c r="K194" s="7">
        <f>A194&amp;"|"&amp;B194</f>
        <v/>
      </c>
      <c r="L194" s="13" t="inlineStr">
        <is>
          <t>ACTIVIDAD COMPLETADA</t>
        </is>
      </c>
    </row>
    <row r="195">
      <c r="A195" s="7" t="inlineStr">
        <is>
          <t>sgc-2023-15</t>
        </is>
      </c>
      <c r="B195" s="7" t="n">
        <v>4</v>
      </c>
      <c r="C195" s="7" t="inlineStr">
        <is>
          <t>SGC</t>
        </is>
      </c>
      <c r="D195" s="7" t="inlineStr">
        <is>
          <t>2023</t>
        </is>
      </c>
      <c r="E195" s="7" t="n">
        <v>15</v>
      </c>
      <c r="F195" s="8" t="n">
        <v>45777</v>
      </c>
      <c r="G195" s="7" t="inlineStr">
        <is>
          <t>DANIEL EDUARDO SOTO BERNAL</t>
        </is>
      </c>
      <c r="H195" s="14" t="n">
        <v>2</v>
      </c>
      <c r="I195" s="15">
        <f>IF(H195="","",H195/2)</f>
        <v/>
      </c>
      <c r="J195" s="7">
        <f>IF(H195="",0,IF(SUMPRODUCT((Seguimientos!$A$2:$A$1013=A195)*(Seguimientos!$F$2:$F$1013=F195)*(Seguimientos!$B$2:$B$1013&gt;B195)*(Seguimientos!$H$2:$H$1013&lt;&gt;""))=0,1,0))</f>
        <v/>
      </c>
      <c r="K195" s="7">
        <f>A195&amp;"|"&amp;B195</f>
        <v/>
      </c>
      <c r="L195" s="13" t="inlineStr">
        <is>
          <t>ACTIVIDAD COMPLETADA</t>
        </is>
      </c>
    </row>
    <row r="196">
      <c r="A196" s="7" t="inlineStr">
        <is>
          <t>sgc-2023-15</t>
        </is>
      </c>
      <c r="B196" s="7" t="n">
        <v>5</v>
      </c>
      <c r="C196" s="7" t="inlineStr">
        <is>
          <t>SGC</t>
        </is>
      </c>
      <c r="D196" s="7" t="inlineStr">
        <is>
          <t>2023</t>
        </is>
      </c>
      <c r="E196" s="7" t="n">
        <v>15</v>
      </c>
      <c r="F196" s="8" t="n">
        <v>45838</v>
      </c>
      <c r="G196" s="7" t="inlineStr">
        <is>
          <t>DANIEL EDUARDO SOTO BERNAL</t>
        </is>
      </c>
      <c r="H196" s="14" t="n">
        <v>2</v>
      </c>
      <c r="I196" s="15">
        <f>IF(H196="","",H196/2)</f>
        <v/>
      </c>
      <c r="J196" s="7">
        <f>IF(H196="",0,IF(SUMPRODUCT((Seguimientos!$A$2:$A$1013=A196)*(Seguimientos!$F$2:$F$1013=F196)*(Seguimientos!$B$2:$B$1013&gt;B196)*(Seguimientos!$H$2:$H$1013&lt;&gt;""))=0,1,0))</f>
        <v/>
      </c>
      <c r="K196" s="7">
        <f>A196&amp;"|"&amp;B196</f>
        <v/>
      </c>
      <c r="L196" s="13" t="inlineStr">
        <is>
          <t>ACTIVIDAD COMPLETADA</t>
        </is>
      </c>
    </row>
    <row r="197">
      <c r="A197" s="7" t="inlineStr">
        <is>
          <t>sgc-2023-15</t>
        </is>
      </c>
      <c r="B197" s="7" t="n">
        <v>6</v>
      </c>
      <c r="C197" s="7" t="inlineStr">
        <is>
          <t>SGC</t>
        </is>
      </c>
      <c r="D197" s="7" t="inlineStr">
        <is>
          <t>2023</t>
        </is>
      </c>
      <c r="E197" s="7" t="n">
        <v>15</v>
      </c>
      <c r="F197" s="8" t="n">
        <v>45930</v>
      </c>
      <c r="G197" s="7" t="inlineStr">
        <is>
          <t>JOAN IMAYINNE GALVIS MORENO</t>
        </is>
      </c>
      <c r="H197" s="14" t="n">
        <v>2</v>
      </c>
      <c r="I197" s="15">
        <f>IF(H197="","",H197/2)</f>
        <v/>
      </c>
      <c r="J197" s="7">
        <f>IF(H197="",0,IF(SUMPRODUCT((Seguimientos!$A$2:$A$1013=A197)*(Seguimientos!$F$2:$F$1013=F197)*(Seguimientos!$B$2:$B$1013&gt;B197)*(Seguimientos!$H$2:$H$1013&lt;&gt;""))=0,1,0))</f>
        <v/>
      </c>
      <c r="K197" s="7">
        <f>A197&amp;"|"&amp;B197</f>
        <v/>
      </c>
      <c r="L197" s="13" t="inlineStr">
        <is>
          <t>ACTIVIDAD COMPLETADA</t>
        </is>
      </c>
    </row>
    <row r="198">
      <c r="A198" s="7" t="inlineStr">
        <is>
          <t>sgc-2023-15</t>
        </is>
      </c>
      <c r="B198" s="7" t="n">
        <v>7</v>
      </c>
      <c r="C198" s="7" t="inlineStr">
        <is>
          <t>SGC</t>
        </is>
      </c>
      <c r="D198" s="7" t="inlineStr">
        <is>
          <t>2023</t>
        </is>
      </c>
      <c r="E198" s="7" t="n">
        <v>15</v>
      </c>
      <c r="F198" s="8" t="n">
        <v>46021</v>
      </c>
      <c r="G198" s="7" t="inlineStr">
        <is>
          <t>JOAN IMAYINNE GALVIS MORENO</t>
        </is>
      </c>
      <c r="H198" s="14" t="n">
        <v>2</v>
      </c>
      <c r="I198" s="15">
        <f>IF(H198="","",H198/2)</f>
        <v/>
      </c>
      <c r="J198" s="7">
        <f>IF(H198="",0,IF(SUMPRODUCT((Seguimientos!$A$2:$A$1013=A198)*(Seguimientos!$F$2:$F$1013=F198)*(Seguimientos!$B$2:$B$1013&gt;B198)*(Seguimientos!$H$2:$H$1013&lt;&gt;""))=0,1,0))</f>
        <v/>
      </c>
      <c r="K198" s="7">
        <f>A198&amp;"|"&amp;B198</f>
        <v/>
      </c>
      <c r="L198" s="13" t="inlineStr">
        <is>
          <t>ACTIVIDAD COMPLETADA</t>
        </is>
      </c>
    </row>
    <row r="199">
      <c r="A199" s="7" t="inlineStr">
        <is>
          <t>sgc-2023-15</t>
        </is>
      </c>
      <c r="B199" s="7" t="n">
        <v>8</v>
      </c>
      <c r="C199" s="7" t="inlineStr">
        <is>
          <t>SGC</t>
        </is>
      </c>
      <c r="D199" s="7" t="inlineStr">
        <is>
          <t>2023</t>
        </is>
      </c>
      <c r="E199" s="7" t="n">
        <v>15</v>
      </c>
      <c r="F199" s="8" t="n">
        <v>46142</v>
      </c>
      <c r="G199" s="7" t="inlineStr">
        <is>
          <t>JOAN IMAYINNE GALVIS MORENO</t>
        </is>
      </c>
      <c r="H199" s="14" t="n">
        <v>2</v>
      </c>
      <c r="I199" s="15">
        <f>IF(H199="","",H199/2)</f>
        <v/>
      </c>
      <c r="J199" s="7">
        <f>IF(H199="",0,IF(SUMPRODUCT((Seguimientos!$A$2:$A$1013=A199)*(Seguimientos!$F$2:$F$1013=F199)*(Seguimientos!$B$2:$B$1013&gt;B199)*(Seguimientos!$H$2:$H$1013&lt;&gt;""))=0,1,0))</f>
        <v/>
      </c>
      <c r="K199" s="7">
        <f>A199&amp;"|"&amp;B199</f>
        <v/>
      </c>
      <c r="L199" s="13" t="inlineStr">
        <is>
          <t>ACTIVIDAD COMPLETADA</t>
        </is>
      </c>
    </row>
    <row r="200">
      <c r="A200" s="7" t="inlineStr">
        <is>
          <t>sgc-2023-15</t>
        </is>
      </c>
      <c r="B200" s="7" t="n">
        <v>9</v>
      </c>
      <c r="C200" s="7" t="inlineStr">
        <is>
          <t>SGC</t>
        </is>
      </c>
      <c r="D200" s="7" t="inlineStr">
        <is>
          <t>2023</t>
        </is>
      </c>
      <c r="E200" s="7" t="n">
        <v>15</v>
      </c>
      <c r="F200" s="8" t="n">
        <v>46203</v>
      </c>
      <c r="G200" s="7" t="inlineStr">
        <is>
          <t>JOAN IMAYINNE GALVIS MORENO</t>
        </is>
      </c>
      <c r="H200" s="14" t="n">
        <v>2</v>
      </c>
      <c r="I200" s="15">
        <f>IF(H200="","",H200/2)</f>
        <v/>
      </c>
      <c r="J200" s="7">
        <f>IF(H200="",0,IF(SUMPRODUCT((Seguimientos!$A$2:$A$1013=A200)*(Seguimientos!$F$2:$F$1013=F200)*(Seguimientos!$B$2:$B$1013&gt;B200)*(Seguimientos!$H$2:$H$1013&lt;&gt;""))=0,1,0))</f>
        <v/>
      </c>
      <c r="K200" s="7">
        <f>A200&amp;"|"&amp;B200</f>
        <v/>
      </c>
      <c r="L200" s="13" t="inlineStr">
        <is>
          <t>ACTIVIDAD COMPLETADA</t>
        </is>
      </c>
    </row>
    <row r="201">
      <c r="A201" s="7" t="inlineStr">
        <is>
          <t>sgc-2023-16</t>
        </is>
      </c>
      <c r="B201" s="7" t="n">
        <v>1</v>
      </c>
      <c r="C201" s="7" t="inlineStr">
        <is>
          <t>SGC</t>
        </is>
      </c>
      <c r="D201" s="7" t="inlineStr">
        <is>
          <t>2023</t>
        </is>
      </c>
      <c r="E201" s="7" t="n">
        <v>16</v>
      </c>
      <c r="F201" s="8" t="n">
        <v>45405</v>
      </c>
      <c r="G201" s="7" t="inlineStr">
        <is>
          <t>DANIEL EDUARDO SOTO BERNAL</t>
        </is>
      </c>
      <c r="H201" s="14" t="n">
        <v>1</v>
      </c>
      <c r="I201" s="15">
        <f>IF(H201="","",H201/2)</f>
        <v/>
      </c>
      <c r="J201" s="7">
        <f>IF(H201="",0,IF(SUMPRODUCT((Seguimientos!$A$2:$A$1013=A201)*(Seguimientos!$F$2:$F$1013=F201)*(Seguimientos!$B$2:$B$1013&gt;B201)*(Seguimientos!$H$2:$H$1013&lt;&gt;""))=0,1,0))</f>
        <v/>
      </c>
      <c r="K201" s="7">
        <f>A201&amp;"|"&amp;B201</f>
        <v/>
      </c>
      <c r="L201" s="13" t="inlineStr">
        <is>
          <t>Por parte del Archivo y Correspondencia se emitió unos lineamientos para tener ene cuenta la reubicación del deposito del Archivo de las HV, de igual formar para el 2024, la oficina de Archivo y Correspondencia, realizará la contratación para la adquisición de estantes para el espacio que se asigno.</t>
        </is>
      </c>
    </row>
    <row r="202">
      <c r="A202" s="7" t="inlineStr">
        <is>
          <t>sgc-2023-16</t>
        </is>
      </c>
      <c r="B202" s="7" t="n">
        <v>2</v>
      </c>
      <c r="C202" s="7" t="inlineStr">
        <is>
          <t>SGC</t>
        </is>
      </c>
      <c r="D202" s="7" t="inlineStr">
        <is>
          <t>2023</t>
        </is>
      </c>
      <c r="E202" s="7" t="n">
        <v>16</v>
      </c>
      <c r="F202" s="8" t="n">
        <v>45497</v>
      </c>
      <c r="G202" s="7" t="inlineStr">
        <is>
          <t>DANIEL EDUARDO SOTO BERNAL</t>
        </is>
      </c>
      <c r="H202" s="14" t="n">
        <v>2</v>
      </c>
      <c r="I202" s="15">
        <f>IF(H202="","",H202/2)</f>
        <v/>
      </c>
      <c r="J202" s="7">
        <f>IF(H202="",0,IF(SUMPRODUCT((Seguimientos!$A$2:$A$1013=A202)*(Seguimientos!$F$2:$F$1013=F202)*(Seguimientos!$B$2:$B$1013&gt;B202)*(Seguimientos!$H$2:$H$1013&lt;&gt;""))=0,1,0))</f>
        <v/>
      </c>
      <c r="K202" s="7">
        <f>A202&amp;"|"&amp;B202</f>
        <v/>
      </c>
      <c r="L202" s="13" t="inlineStr">
        <is>
          <t>Por parte del Archivo y Correspondencia se emitió unos lineamientos para tener ene cuenta la reubicación del deposito del Archivo de las HV, de igual formar para el 2024, la oficina de Archivo y Correspondencia, realizará la contratación para la adquisición de estantes para el espacio que se asigno. La Dirección de Planeación Institucional en cumplimiento del procedimiento EPIP 13- VIABILIZACIÓN DE ASIGNACIÓN Y DE ESPACIOS FISICOS, el cual fue establecido con el fin de evaluar y viabilizar propuestas relacionadas con la asignación de espacios físicos de la Universidad de Cundinamarca y mediante el formato EPIPr047-SOLICITUD DE NECESIDAD Y DISPOSICIÓN DE ESPACIOS FÍSICOS, asigno el espacio con nomenclatura F-101 para el archivo de la Dirección de Talento Humano, en respuesta a lo solicitado por esta Dirección.</t>
        </is>
      </c>
    </row>
    <row r="203">
      <c r="A203" s="7" t="inlineStr">
        <is>
          <t>sgc-2023-16</t>
        </is>
      </c>
      <c r="B203" s="7" t="n">
        <v>3</v>
      </c>
      <c r="C203" s="7" t="inlineStr">
        <is>
          <t>SGC</t>
        </is>
      </c>
      <c r="D203" s="7" t="inlineStr">
        <is>
          <t>2023</t>
        </is>
      </c>
      <c r="E203" s="7" t="n">
        <v>16</v>
      </c>
      <c r="F203" s="8" t="n">
        <v>45583</v>
      </c>
      <c r="G203" s="7" t="inlineStr">
        <is>
          <t>DANIEL EDUARDO SOTO BERNAL</t>
        </is>
      </c>
      <c r="H203" s="14" t="n">
        <v>2</v>
      </c>
      <c r="I203" s="15">
        <f>IF(H203="","",H203/2)</f>
        <v/>
      </c>
      <c r="J203" s="7">
        <f>IF(H203="",0,IF(SUMPRODUCT((Seguimientos!$A$2:$A$1013=A203)*(Seguimientos!$F$2:$F$1013=F203)*(Seguimientos!$B$2:$B$1013&gt;B203)*(Seguimientos!$H$2:$H$1013&lt;&gt;""))=0,1,0))</f>
        <v/>
      </c>
      <c r="K203" s="7">
        <f>A203&amp;"|"&amp;B203</f>
        <v/>
      </c>
      <c r="L203" s="13" t="inlineStr">
        <is>
          <t>ACTIVIDAD COMPLETADA</t>
        </is>
      </c>
    </row>
    <row r="204">
      <c r="A204" s="7" t="inlineStr">
        <is>
          <t>sgc-2023-16</t>
        </is>
      </c>
      <c r="B204" s="7" t="n">
        <v>4</v>
      </c>
      <c r="C204" s="7" t="inlineStr">
        <is>
          <t>SGC</t>
        </is>
      </c>
      <c r="D204" s="7" t="inlineStr">
        <is>
          <t>2023</t>
        </is>
      </c>
      <c r="E204" s="7" t="n">
        <v>16</v>
      </c>
      <c r="F204" s="8" t="n">
        <v>45777</v>
      </c>
      <c r="G204" s="7" t="inlineStr">
        <is>
          <t>DANIEL EDUARDO SOTO BERNAL</t>
        </is>
      </c>
      <c r="H204" s="14" t="n">
        <v>2</v>
      </c>
      <c r="I204" s="15">
        <f>IF(H204="","",H204/2)</f>
        <v/>
      </c>
      <c r="J204" s="7">
        <f>IF(H204="",0,IF(SUMPRODUCT((Seguimientos!$A$2:$A$1013=A204)*(Seguimientos!$F$2:$F$1013=F204)*(Seguimientos!$B$2:$B$1013&gt;B204)*(Seguimientos!$H$2:$H$1013&lt;&gt;""))=0,1,0))</f>
        <v/>
      </c>
      <c r="K204" s="7">
        <f>A204&amp;"|"&amp;B204</f>
        <v/>
      </c>
      <c r="L204" s="13" t="inlineStr">
        <is>
          <t>ACTIVIDAD COMPLETADA</t>
        </is>
      </c>
    </row>
    <row r="205">
      <c r="A205" s="7" t="inlineStr">
        <is>
          <t>sgc-2023-16</t>
        </is>
      </c>
      <c r="B205" s="7" t="n">
        <v>5</v>
      </c>
      <c r="C205" s="7" t="inlineStr">
        <is>
          <t>SGC</t>
        </is>
      </c>
      <c r="D205" s="7" t="inlineStr">
        <is>
          <t>2023</t>
        </is>
      </c>
      <c r="E205" s="7" t="n">
        <v>16</v>
      </c>
      <c r="F205" s="8" t="n">
        <v>45838</v>
      </c>
      <c r="G205" s="7" t="inlineStr">
        <is>
          <t>DANIEL EDUARDO SOTO BERNAL</t>
        </is>
      </c>
      <c r="H205" s="14" t="n">
        <v>2</v>
      </c>
      <c r="I205" s="15">
        <f>IF(H205="","",H205/2)</f>
        <v/>
      </c>
      <c r="J205" s="7">
        <f>IF(H205="",0,IF(SUMPRODUCT((Seguimientos!$A$2:$A$1013=A205)*(Seguimientos!$F$2:$F$1013=F205)*(Seguimientos!$B$2:$B$1013&gt;B205)*(Seguimientos!$H$2:$H$1013&lt;&gt;""))=0,1,0))</f>
        <v/>
      </c>
      <c r="K205" s="7">
        <f>A205&amp;"|"&amp;B205</f>
        <v/>
      </c>
      <c r="L205" s="13" t="inlineStr">
        <is>
          <t>ACTIVIDAD COMPLETADA</t>
        </is>
      </c>
    </row>
    <row r="206">
      <c r="A206" s="7" t="inlineStr">
        <is>
          <t>sgc-2023-16</t>
        </is>
      </c>
      <c r="B206" s="7" t="n">
        <v>6</v>
      </c>
      <c r="C206" s="7" t="inlineStr">
        <is>
          <t>SGC</t>
        </is>
      </c>
      <c r="D206" s="7" t="inlineStr">
        <is>
          <t>2023</t>
        </is>
      </c>
      <c r="E206" s="7" t="n">
        <v>16</v>
      </c>
      <c r="F206" s="8" t="n">
        <v>45930</v>
      </c>
      <c r="G206" s="7" t="inlineStr">
        <is>
          <t>JOAN IMAYINNE GALVIS MORENO</t>
        </is>
      </c>
      <c r="H206" s="14" t="n">
        <v>2</v>
      </c>
      <c r="I206" s="15">
        <f>IF(H206="","",H206/2)</f>
        <v/>
      </c>
      <c r="J206" s="7">
        <f>IF(H206="",0,IF(SUMPRODUCT((Seguimientos!$A$2:$A$1013=A206)*(Seguimientos!$F$2:$F$1013=F206)*(Seguimientos!$B$2:$B$1013&gt;B206)*(Seguimientos!$H$2:$H$1013&lt;&gt;""))=0,1,0))</f>
        <v/>
      </c>
      <c r="K206" s="7">
        <f>A206&amp;"|"&amp;B206</f>
        <v/>
      </c>
      <c r="L206" s="13" t="inlineStr">
        <is>
          <t>ACTIVIDAD COMPLETADA</t>
        </is>
      </c>
    </row>
    <row r="207">
      <c r="A207" s="7" t="inlineStr">
        <is>
          <t>sgc-2023-16</t>
        </is>
      </c>
      <c r="B207" s="7" t="n">
        <v>7</v>
      </c>
      <c r="C207" s="7" t="inlineStr">
        <is>
          <t>SGC</t>
        </is>
      </c>
      <c r="D207" s="7" t="inlineStr">
        <is>
          <t>2023</t>
        </is>
      </c>
      <c r="E207" s="7" t="n">
        <v>16</v>
      </c>
      <c r="F207" s="8" t="n">
        <v>46021</v>
      </c>
      <c r="G207" s="7" t="inlineStr">
        <is>
          <t>JOAN IMAYINNE GALVIS MORENO</t>
        </is>
      </c>
      <c r="H207" s="14" t="n">
        <v>2</v>
      </c>
      <c r="I207" s="15">
        <f>IF(H207="","",H207/2)</f>
        <v/>
      </c>
      <c r="J207" s="7">
        <f>IF(H207="",0,IF(SUMPRODUCT((Seguimientos!$A$2:$A$1013=A207)*(Seguimientos!$F$2:$F$1013=F207)*(Seguimientos!$B$2:$B$1013&gt;B207)*(Seguimientos!$H$2:$H$1013&lt;&gt;""))=0,1,0))</f>
        <v/>
      </c>
      <c r="K207" s="7">
        <f>A207&amp;"|"&amp;B207</f>
        <v/>
      </c>
      <c r="L207" s="13" t="inlineStr">
        <is>
          <t>ACTIVIDAD COMPLETADA</t>
        </is>
      </c>
    </row>
    <row r="208">
      <c r="A208" s="7" t="inlineStr">
        <is>
          <t>sgc-2023-16</t>
        </is>
      </c>
      <c r="B208" s="7" t="n">
        <v>8</v>
      </c>
      <c r="C208" s="7" t="inlineStr">
        <is>
          <t>SGC</t>
        </is>
      </c>
      <c r="D208" s="7" t="inlineStr">
        <is>
          <t>2023</t>
        </is>
      </c>
      <c r="E208" s="7" t="n">
        <v>16</v>
      </c>
      <c r="F208" s="8" t="n">
        <v>46142</v>
      </c>
      <c r="G208" s="7" t="inlineStr">
        <is>
          <t>JOAN IMAYINNE GALVIS MORENO</t>
        </is>
      </c>
      <c r="H208" s="14" t="n">
        <v>2</v>
      </c>
      <c r="I208" s="15">
        <f>IF(H208="","",H208/2)</f>
        <v/>
      </c>
      <c r="J208" s="7">
        <f>IF(H208="",0,IF(SUMPRODUCT((Seguimientos!$A$2:$A$1013=A208)*(Seguimientos!$F$2:$F$1013=F208)*(Seguimientos!$B$2:$B$1013&gt;B208)*(Seguimientos!$H$2:$H$1013&lt;&gt;""))=0,1,0))</f>
        <v/>
      </c>
      <c r="K208" s="7">
        <f>A208&amp;"|"&amp;B208</f>
        <v/>
      </c>
      <c r="L208" s="13" t="inlineStr">
        <is>
          <t>ACTIVIDAD COMPLETADA</t>
        </is>
      </c>
    </row>
    <row r="209">
      <c r="A209" s="7" t="inlineStr">
        <is>
          <t>sgc-2023-16</t>
        </is>
      </c>
      <c r="B209" s="7" t="n">
        <v>9</v>
      </c>
      <c r="C209" s="7" t="inlineStr">
        <is>
          <t>SGC</t>
        </is>
      </c>
      <c r="D209" s="7" t="inlineStr">
        <is>
          <t>2023</t>
        </is>
      </c>
      <c r="E209" s="7" t="n">
        <v>16</v>
      </c>
      <c r="F209" s="8" t="n">
        <v>46203</v>
      </c>
      <c r="G209" s="7" t="inlineStr">
        <is>
          <t>JOAN IMAYINNE GALVIS MORENO</t>
        </is>
      </c>
      <c r="H209" s="14" t="n">
        <v>2</v>
      </c>
      <c r="I209" s="15">
        <f>IF(H209="","",H209/2)</f>
        <v/>
      </c>
      <c r="J209" s="7">
        <f>IF(H209="",0,IF(SUMPRODUCT((Seguimientos!$A$2:$A$1013=A209)*(Seguimientos!$F$2:$F$1013=F209)*(Seguimientos!$B$2:$B$1013&gt;B209)*(Seguimientos!$H$2:$H$1013&lt;&gt;""))=0,1,0))</f>
        <v/>
      </c>
      <c r="K209" s="7">
        <f>A209&amp;"|"&amp;B209</f>
        <v/>
      </c>
      <c r="L209" s="13" t="inlineStr">
        <is>
          <t>ACTIVIDAD COMPLETADA</t>
        </is>
      </c>
    </row>
    <row r="210">
      <c r="A210" s="7" t="inlineStr">
        <is>
          <t>sgc-2023-17</t>
        </is>
      </c>
      <c r="B210" s="7" t="n">
        <v>1</v>
      </c>
      <c r="C210" s="7" t="inlineStr">
        <is>
          <t>SGC</t>
        </is>
      </c>
      <c r="D210" s="7" t="inlineStr">
        <is>
          <t>2023</t>
        </is>
      </c>
      <c r="E210" s="7" t="n">
        <v>17</v>
      </c>
      <c r="F210" s="8" t="n">
        <v>45405</v>
      </c>
      <c r="G210" s="7" t="inlineStr">
        <is>
          <t>DANIEL EDUARDO SOTO BERNAL</t>
        </is>
      </c>
      <c r="H210" s="14" t="n">
        <v>0</v>
      </c>
      <c r="I210" s="15">
        <f>IF(H210="","",H210/2)</f>
        <v/>
      </c>
      <c r="J210" s="7">
        <f>IF(H210="",0,IF(SUMPRODUCT((Seguimientos!$A$2:$A$1013=A210)*(Seguimientos!$F$2:$F$1013=F210)*(Seguimientos!$B$2:$B$1013&gt;B210)*(Seguimientos!$H$2:$H$1013&lt;&gt;""))=0,1,0))</f>
        <v/>
      </c>
      <c r="K210" s="7">
        <f>A210&amp;"|"&amp;B210</f>
        <v/>
      </c>
      <c r="L210" s="13" t="inlineStr">
        <is>
          <t>De manera atenta se informa que la Dirección de Investigación está dentro de los términos para responder al requerimiento No 17 de la oportunidad de mejora "Hacer un estudio de tiempos y movimientos con la Oficina de Calidad de los trámites internos para el proceso de investigación, articulado con el área administrativa." Por ello, se está recopilando y consolidando toda la información necesaria para elaborar el informe correspondiente, el cual será entregado en respuesta al requerimiento del segundo trimestre de este año.</t>
        </is>
      </c>
    </row>
    <row r="211">
      <c r="A211" s="7" t="inlineStr">
        <is>
          <t>sgc-2023-17</t>
        </is>
      </c>
      <c r="B211" s="7" t="n">
        <v>2</v>
      </c>
      <c r="C211" s="7" t="inlineStr">
        <is>
          <t>SGC</t>
        </is>
      </c>
      <c r="D211" s="7" t="inlineStr">
        <is>
          <t>2023</t>
        </is>
      </c>
      <c r="E211" s="7" t="n">
        <v>17</v>
      </c>
      <c r="F211" s="8" t="n">
        <v>45497</v>
      </c>
      <c r="G211" s="7" t="inlineStr">
        <is>
          <t>DANIEL EDUARDO SOTO BERNAL</t>
        </is>
      </c>
      <c r="H211" s="14" t="n">
        <v>2</v>
      </c>
      <c r="I211" s="15">
        <f>IF(H211="","",H211/2)</f>
        <v/>
      </c>
      <c r="J211" s="7">
        <f>IF(H211="",0,IF(SUMPRODUCT((Seguimientos!$A$2:$A$1013=A211)*(Seguimientos!$F$2:$F$1013=F211)*(Seguimientos!$B$2:$B$1013&gt;B211)*(Seguimientos!$H$2:$H$1013&lt;&gt;""))=0,1,0))</f>
        <v/>
      </c>
      <c r="K211" s="7">
        <f>A211&amp;"|"&amp;B211</f>
        <v/>
      </c>
      <c r="L211" s="13" t="inlineStr">
        <is>
          <t>Se describen los movimientos y tiempos para las Convocatorias internas que se desarrollan desde la Dirección de Investigación para el financiamiento de las propuestas seleccionadas y la formalización de los planes de gastos. La Dirección de Investigación desarrolla dos (2) convocatorias cada año, las cuales se ejecutan en el primer y segundo periodo académico, en los meses de marzo o abril y en el mes de agosto respectivamente. Por lo tanto, las convocatorias se aperturán y se finalizan en el mismo periodo académico para saber cuáles son las propuestas de proyectos de investigación que de acuerdo a la calificación superior de 75 puntos por pares evaluadores son aprobados para su financiación, iniciando en el siguiente periodo académico al cual fueron aprobados tanto técnica como financieramente por el tiempo de ejecución establecido en los términos de referencia. La Dirección de Investigación Universitaria adjunta Informe.</t>
        </is>
      </c>
    </row>
    <row r="212">
      <c r="A212" s="7" t="inlineStr">
        <is>
          <t>sgc-2023-17</t>
        </is>
      </c>
      <c r="B212" s="7" t="n">
        <v>3</v>
      </c>
      <c r="C212" s="7" t="inlineStr">
        <is>
          <t>SGC</t>
        </is>
      </c>
      <c r="D212" s="7" t="inlineStr">
        <is>
          <t>2023</t>
        </is>
      </c>
      <c r="E212" s="7" t="n">
        <v>17</v>
      </c>
      <c r="F212" s="8" t="n">
        <v>45583</v>
      </c>
      <c r="G212" s="7" t="inlineStr">
        <is>
          <t>DANIEL EDUARDO SOTO BERNAL</t>
        </is>
      </c>
      <c r="H212" s="14" t="n">
        <v>2</v>
      </c>
      <c r="I212" s="15">
        <f>IF(H212="","",H212/2)</f>
        <v/>
      </c>
      <c r="J212" s="7">
        <f>IF(H212="",0,IF(SUMPRODUCT((Seguimientos!$A$2:$A$1013=A212)*(Seguimientos!$F$2:$F$1013=F212)*(Seguimientos!$B$2:$B$1013&gt;B212)*(Seguimientos!$H$2:$H$1013&lt;&gt;""))=0,1,0))</f>
        <v/>
      </c>
      <c r="K212" s="7">
        <f>A212&amp;"|"&amp;B212</f>
        <v/>
      </c>
      <c r="L212" s="13" t="inlineStr">
        <is>
          <t>ACTIVIDAD COMPLETADA</t>
        </is>
      </c>
    </row>
    <row r="213">
      <c r="A213" s="7" t="inlineStr">
        <is>
          <t>sgc-2023-17</t>
        </is>
      </c>
      <c r="B213" s="7" t="n">
        <v>4</v>
      </c>
      <c r="C213" s="7" t="inlineStr">
        <is>
          <t>SGC</t>
        </is>
      </c>
      <c r="D213" s="7" t="inlineStr">
        <is>
          <t>2023</t>
        </is>
      </c>
      <c r="E213" s="7" t="n">
        <v>17</v>
      </c>
      <c r="F213" s="8" t="n">
        <v>45777</v>
      </c>
      <c r="G213" s="7" t="inlineStr">
        <is>
          <t>DANIEL EDUARDO SOTO BERNAL</t>
        </is>
      </c>
      <c r="H213" s="14" t="n">
        <v>2</v>
      </c>
      <c r="I213" s="15">
        <f>IF(H213="","",H213/2)</f>
        <v/>
      </c>
      <c r="J213" s="7">
        <f>IF(H213="",0,IF(SUMPRODUCT((Seguimientos!$A$2:$A$1013=A213)*(Seguimientos!$F$2:$F$1013=F213)*(Seguimientos!$B$2:$B$1013&gt;B213)*(Seguimientos!$H$2:$H$1013&lt;&gt;""))=0,1,0))</f>
        <v/>
      </c>
      <c r="K213" s="7">
        <f>A213&amp;"|"&amp;B213</f>
        <v/>
      </c>
      <c r="L213" s="13" t="inlineStr">
        <is>
          <t>ACTIVIDAD COMPLETADA</t>
        </is>
      </c>
    </row>
    <row r="214">
      <c r="A214" s="7" t="inlineStr">
        <is>
          <t>sgc-2023-17</t>
        </is>
      </c>
      <c r="B214" s="7" t="n">
        <v>5</v>
      </c>
      <c r="C214" s="7" t="inlineStr">
        <is>
          <t>SGC</t>
        </is>
      </c>
      <c r="D214" s="7" t="inlineStr">
        <is>
          <t>2023</t>
        </is>
      </c>
      <c r="E214" s="7" t="n">
        <v>17</v>
      </c>
      <c r="F214" s="8" t="n">
        <v>45838</v>
      </c>
      <c r="G214" s="7" t="inlineStr">
        <is>
          <t>DANIEL EDUARDO SOTO BERNAL</t>
        </is>
      </c>
      <c r="H214" s="14" t="n">
        <v>2</v>
      </c>
      <c r="I214" s="15">
        <f>IF(H214="","",H214/2)</f>
        <v/>
      </c>
      <c r="J214" s="7">
        <f>IF(H214="",0,IF(SUMPRODUCT((Seguimientos!$A$2:$A$1013=A214)*(Seguimientos!$F$2:$F$1013=F214)*(Seguimientos!$B$2:$B$1013&gt;B214)*(Seguimientos!$H$2:$H$1013&lt;&gt;""))=0,1,0))</f>
        <v/>
      </c>
      <c r="K214" s="7">
        <f>A214&amp;"|"&amp;B214</f>
        <v/>
      </c>
      <c r="L214" s="13" t="inlineStr">
        <is>
          <t>ACTIVIDAD COMPLETADA</t>
        </is>
      </c>
    </row>
    <row r="215">
      <c r="A215" s="7" t="inlineStr">
        <is>
          <t>sgc-2023-17</t>
        </is>
      </c>
      <c r="B215" s="7" t="n">
        <v>6</v>
      </c>
      <c r="C215" s="7" t="inlineStr">
        <is>
          <t>SGC</t>
        </is>
      </c>
      <c r="D215" s="7" t="inlineStr">
        <is>
          <t>2023</t>
        </is>
      </c>
      <c r="E215" s="7" t="n">
        <v>17</v>
      </c>
      <c r="F215" s="8" t="n">
        <v>45930</v>
      </c>
      <c r="G215" s="7" t="inlineStr">
        <is>
          <t>JOAN IMAYINNE GALVIS MORENO</t>
        </is>
      </c>
      <c r="H215" s="14" t="n">
        <v>2</v>
      </c>
      <c r="I215" s="15">
        <f>IF(H215="","",H215/2)</f>
        <v/>
      </c>
      <c r="J215" s="7">
        <f>IF(H215="",0,IF(SUMPRODUCT((Seguimientos!$A$2:$A$1013=A215)*(Seguimientos!$F$2:$F$1013=F215)*(Seguimientos!$B$2:$B$1013&gt;B215)*(Seguimientos!$H$2:$H$1013&lt;&gt;""))=0,1,0))</f>
        <v/>
      </c>
      <c r="K215" s="7">
        <f>A215&amp;"|"&amp;B215</f>
        <v/>
      </c>
      <c r="L215" s="13" t="inlineStr">
        <is>
          <t>ACTIVIDAD COMPLETADA</t>
        </is>
      </c>
    </row>
    <row r="216">
      <c r="A216" s="7" t="inlineStr">
        <is>
          <t>sgc-2023-17</t>
        </is>
      </c>
      <c r="B216" s="7" t="n">
        <v>7</v>
      </c>
      <c r="C216" s="7" t="inlineStr">
        <is>
          <t>SGC</t>
        </is>
      </c>
      <c r="D216" s="7" t="inlineStr">
        <is>
          <t>2023</t>
        </is>
      </c>
      <c r="E216" s="7" t="n">
        <v>17</v>
      </c>
      <c r="F216" s="8" t="n">
        <v>46021</v>
      </c>
      <c r="G216" s="7" t="inlineStr">
        <is>
          <t>JOAN IMAYINNE GALVIS MORENO</t>
        </is>
      </c>
      <c r="H216" s="14" t="n">
        <v>2</v>
      </c>
      <c r="I216" s="15">
        <f>IF(H216="","",H216/2)</f>
        <v/>
      </c>
      <c r="J216" s="7">
        <f>IF(H216="",0,IF(SUMPRODUCT((Seguimientos!$A$2:$A$1013=A216)*(Seguimientos!$F$2:$F$1013=F216)*(Seguimientos!$B$2:$B$1013&gt;B216)*(Seguimientos!$H$2:$H$1013&lt;&gt;""))=0,1,0))</f>
        <v/>
      </c>
      <c r="K216" s="7">
        <f>A216&amp;"|"&amp;B216</f>
        <v/>
      </c>
      <c r="L216" s="13" t="inlineStr">
        <is>
          <t>ACTIVIDAD COMPLETADA</t>
        </is>
      </c>
    </row>
    <row r="217">
      <c r="A217" s="7" t="inlineStr">
        <is>
          <t>sgc-2023-17</t>
        </is>
      </c>
      <c r="B217" s="7" t="n">
        <v>8</v>
      </c>
      <c r="C217" s="7" t="inlineStr">
        <is>
          <t>SGC</t>
        </is>
      </c>
      <c r="D217" s="7" t="inlineStr">
        <is>
          <t>2023</t>
        </is>
      </c>
      <c r="E217" s="7" t="n">
        <v>17</v>
      </c>
      <c r="F217" s="8" t="n">
        <v>46142</v>
      </c>
      <c r="G217" s="7" t="inlineStr">
        <is>
          <t>JOAN IMAYINNE GALVIS MORENO</t>
        </is>
      </c>
      <c r="H217" s="14" t="n">
        <v>2</v>
      </c>
      <c r="I217" s="15">
        <f>IF(H217="","",H217/2)</f>
        <v/>
      </c>
      <c r="J217" s="7">
        <f>IF(H217="",0,IF(SUMPRODUCT((Seguimientos!$A$2:$A$1013=A217)*(Seguimientos!$F$2:$F$1013=F217)*(Seguimientos!$B$2:$B$1013&gt;B217)*(Seguimientos!$H$2:$H$1013&lt;&gt;""))=0,1,0))</f>
        <v/>
      </c>
      <c r="K217" s="7">
        <f>A217&amp;"|"&amp;B217</f>
        <v/>
      </c>
      <c r="L217" s="13" t="inlineStr">
        <is>
          <t>ACTIVIDAD COMPLETADA</t>
        </is>
      </c>
    </row>
    <row r="218">
      <c r="A218" s="7" t="inlineStr">
        <is>
          <t>sgc-2023-17</t>
        </is>
      </c>
      <c r="B218" s="7" t="n">
        <v>9</v>
      </c>
      <c r="C218" s="7" t="inlineStr">
        <is>
          <t>SGC</t>
        </is>
      </c>
      <c r="D218" s="7" t="inlineStr">
        <is>
          <t>2023</t>
        </is>
      </c>
      <c r="E218" s="7" t="n">
        <v>17</v>
      </c>
      <c r="F218" s="8" t="n">
        <v>46203</v>
      </c>
      <c r="G218" s="7" t="inlineStr">
        <is>
          <t>JOAN IMAYINNE GALVIS MORENO</t>
        </is>
      </c>
      <c r="H218" s="14" t="n">
        <v>2</v>
      </c>
      <c r="I218" s="15">
        <f>IF(H218="","",H218/2)</f>
        <v/>
      </c>
      <c r="J218" s="7">
        <f>IF(H218="",0,IF(SUMPRODUCT((Seguimientos!$A$2:$A$1013=A218)*(Seguimientos!$F$2:$F$1013=F218)*(Seguimientos!$B$2:$B$1013&gt;B218)*(Seguimientos!$H$2:$H$1013&lt;&gt;""))=0,1,0))</f>
        <v/>
      </c>
      <c r="K218" s="7">
        <f>A218&amp;"|"&amp;B218</f>
        <v/>
      </c>
      <c r="L218" s="13" t="inlineStr">
        <is>
          <t>ACTIVIDAD COMPLETADA</t>
        </is>
      </c>
    </row>
    <row r="219">
      <c r="A219" s="7" t="inlineStr">
        <is>
          <t>sgc-2023-18</t>
        </is>
      </c>
      <c r="B219" s="7" t="n">
        <v>1</v>
      </c>
      <c r="C219" s="7" t="inlineStr">
        <is>
          <t>SGC</t>
        </is>
      </c>
      <c r="D219" s="7" t="inlineStr">
        <is>
          <t>2023</t>
        </is>
      </c>
      <c r="E219" s="7" t="n">
        <v>18</v>
      </c>
      <c r="F219" s="8" t="n">
        <v>45405</v>
      </c>
      <c r="G219" s="7" t="inlineStr">
        <is>
          <t>DANIEL EDUARDO SOTO BERNAL</t>
        </is>
      </c>
      <c r="H219" s="14" t="n">
        <v>1.5</v>
      </c>
      <c r="I219" s="15">
        <f>IF(H219="","",H219/2)</f>
        <v/>
      </c>
      <c r="J219" s="7">
        <f>IF(H219="",0,IF(SUMPRODUCT((Seguimientos!$A$2:$A$1013=A219)*(Seguimientos!$F$2:$F$1013=F219)*(Seguimientos!$B$2:$B$1013&gt;B219)*(Seguimientos!$H$2:$H$1013&lt;&gt;""))=0,1,0))</f>
        <v/>
      </c>
      <c r="K219" s="7">
        <f>A219&amp;"|"&amp;B219</f>
        <v/>
      </c>
      <c r="L219" s="13" t="inlineStr">
        <is>
          <t>Se adjunta informe con el detalle de las acciones desplegadas desde la vicerrectoría Académica para el seguimiento a la gestión del proceso Dialogando con el mundo. VÍCTOR HUGO LONDOÑO AGUIRRE 30-04-2024</t>
        </is>
      </c>
    </row>
    <row r="220">
      <c r="A220" s="7" t="inlineStr">
        <is>
          <t>sgc-2023-18</t>
        </is>
      </c>
      <c r="B220" s="7" t="n">
        <v>2</v>
      </c>
      <c r="C220" s="7" t="inlineStr">
        <is>
          <t>SGC</t>
        </is>
      </c>
      <c r="D220" s="7" t="inlineStr">
        <is>
          <t>2023</t>
        </is>
      </c>
      <c r="E220" s="7" t="n">
        <v>18</v>
      </c>
      <c r="F220" s="8" t="n">
        <v>45497</v>
      </c>
      <c r="G220" s="7" t="inlineStr">
        <is>
          <t>DANIEL EDUARDO SOTO BERNAL</t>
        </is>
      </c>
      <c r="H220" s="14" t="n">
        <v>1.5</v>
      </c>
      <c r="I220" s="15">
        <f>IF(H220="","",H220/2)</f>
        <v/>
      </c>
      <c r="J220" s="7">
        <f>IF(H220="",0,IF(SUMPRODUCT((Seguimientos!$A$2:$A$1013=A220)*(Seguimientos!$F$2:$F$1013=F220)*(Seguimientos!$B$2:$B$1013&gt;B220)*(Seguimientos!$H$2:$H$1013&lt;&gt;""))=0,1,0))</f>
        <v/>
      </c>
      <c r="K220" s="7">
        <f>A220&amp;"|"&amp;B220</f>
        <v/>
      </c>
      <c r="L220" s="13" t="inlineStr">
        <is>
          <t>Desde la Vicerrectoría Académica se ha realizado un seguimiento riguroso al proceso de Dialogando con el Mundo desde el mes de abril. El proceso ha presentado algunos aspectos de mejora y es de aclarar que en este momento se encuentra haciendo el empalme del proceso con un nuevo líder. Se hace entrega del cargo por parte de la líder saliente y se anexa a este seguimiento en donde reposan todas las acciones que se han realizado hasta el momento y las gestiones que se deben asumir para este nuevo periodo académico. https://mailunicundiedu-my.sharepoint.com/:f:/g/personal/analisisvac_ucundinamarca_edu_co/ElWUwptUI_BDghg2idBQIhEBSlWheLO_49rjWS_IvcaWsg?e=Df0dDG VICERRECTORÍA ACADÉMICA 19-07-2024</t>
        </is>
      </c>
    </row>
    <row r="221">
      <c r="A221" s="7" t="inlineStr">
        <is>
          <t>sgc-2023-18</t>
        </is>
      </c>
      <c r="B221" s="7" t="n">
        <v>3</v>
      </c>
      <c r="C221" s="7" t="inlineStr">
        <is>
          <t>SGC</t>
        </is>
      </c>
      <c r="D221" s="7" t="inlineStr">
        <is>
          <t>2023</t>
        </is>
      </c>
      <c r="E221" s="7" t="n">
        <v>18</v>
      </c>
      <c r="F221" s="8" t="n">
        <v>45583</v>
      </c>
      <c r="G221" s="7" t="inlineStr">
        <is>
          <t>DANIEL EDUARDO SOTO BERNAL</t>
        </is>
      </c>
      <c r="H221" s="14" t="n">
        <v>1.5</v>
      </c>
      <c r="I221" s="15">
        <f>IF(H221="","",H221/2)</f>
        <v/>
      </c>
      <c r="J221" s="7">
        <f>IF(H221="",0,IF(SUMPRODUCT((Seguimientos!$A$2:$A$1013=A221)*(Seguimientos!$F$2:$F$1013=F221)*(Seguimientos!$B$2:$B$1013&gt;B221)*(Seguimientos!$H$2:$H$1013&lt;&gt;""))=0,1,0))</f>
        <v/>
      </c>
      <c r="K221" s="7">
        <f>A221&amp;"|"&amp;B221</f>
        <v/>
      </c>
      <c r="L221" s="13" t="inlineStr">
        <is>
          <t>Para el 2024-2 se cuenta con una nueva lider del proceso de Dialogando con el Mundo en donde se han realizado varias estrategias de mejora del proceso. Planes de Mejora: a continuación, en el informa adjunto se presentan los planes de mejora alojados en la plataforma Institucional, para lo cual se ha venido trabajando en mesas de trabajo para dar cierre a los planes, sin embargo hay una dificultad específica que es la actualización de los formatos de los procesos de Dialogando con el Mundo lo cual aportaría al cierre de varios planes. Convenios: se realizó revisión de formatos de convenios para actualización y se está a la espera de concepto jurídico. Se realizó la verificación de los convenios establecidos identificando el próximo vencimiento de algunos para lo cual es estableció contacto con las instituciones. Por otra parte, se han gestionado contactos con nuevas Instituciones para establecer convenios. Movilidad 2024-2: Con el fin de lograr alcanzar las metas propuestas en temas de movilidad se propuso en el 2024-2 se propuso la realización del Voluntariado “The Xperience”, el cual se está ejecutando. En el momento se encuentran en el desarrollo y seguimiento a la movilidad 2024-2 de los 3 programas, y en la asignación de cupos de la movilidad 2025-1, para lo cual hemos tenido inconvenientes con algunas instituciones: Por ejemplo: • 3 Universidades de Argentina han cancelado cupos por los temas de presupuesto que han venido presentando. • Con Cuba se decidió no enviar estudiantes debido a la gran cantidad de quejas y la situación del país. • Con Universidad del Beni en Bolivia, se redujeron los cupos ya que hay muchas quejas del trato y el desarrollo de las actividades académicas. INFORME DETALLADO AQUÍ</t>
        </is>
      </c>
    </row>
    <row r="222">
      <c r="A222" s="7" t="inlineStr">
        <is>
          <t>sgc-2023-18</t>
        </is>
      </c>
      <c r="B222" s="7" t="n">
        <v>4</v>
      </c>
      <c r="C222" s="7" t="inlineStr">
        <is>
          <t>SGC</t>
        </is>
      </c>
      <c r="D222" s="7" t="inlineStr">
        <is>
          <t>2023</t>
        </is>
      </c>
      <c r="E222" s="7" t="n">
        <v>18</v>
      </c>
      <c r="F222" s="8" t="n">
        <v>45777</v>
      </c>
      <c r="G222" s="7" t="inlineStr">
        <is>
          <t>DANIEL EDUARDO SOTO BERNAL</t>
        </is>
      </c>
      <c r="H222" s="14" t="n">
        <v>1.5</v>
      </c>
      <c r="I222" s="15">
        <f>IF(H222="","",H222/2)</f>
        <v/>
      </c>
      <c r="J222" s="7">
        <f>IF(H222="",0,IF(SUMPRODUCT((Seguimientos!$A$2:$A$1013=A222)*(Seguimientos!$F$2:$F$1013=F222)*(Seguimientos!$B$2:$B$1013&gt;B222)*(Seguimientos!$H$2:$H$1013&lt;&gt;""))=0,1,0))</f>
        <v/>
      </c>
      <c r="K222" s="7">
        <f>A222&amp;"|"&amp;B222</f>
        <v/>
      </c>
      <c r="L222" s="13" t="inlineStr">
        <is>
          <t>Actividad pendiente por cumplir, No soportan evidencia.</t>
        </is>
      </c>
    </row>
    <row r="223">
      <c r="A223" s="7" t="inlineStr">
        <is>
          <t>sgc-2023-18</t>
        </is>
      </c>
      <c r="B223" s="7" t="n">
        <v>5</v>
      </c>
      <c r="C223" s="7" t="inlineStr">
        <is>
          <t>SGC</t>
        </is>
      </c>
      <c r="D223" s="7" t="inlineStr">
        <is>
          <t>2023</t>
        </is>
      </c>
      <c r="E223" s="7" t="n">
        <v>18</v>
      </c>
      <c r="F223" s="8" t="n">
        <v>45838</v>
      </c>
      <c r="G223" s="7" t="inlineStr">
        <is>
          <t>DANIEL EDUARDO SOTO BERNAL</t>
        </is>
      </c>
      <c r="H223" s="14" t="n">
        <v>1.5</v>
      </c>
      <c r="I223" s="15">
        <f>IF(H223="","",H223/2)</f>
        <v/>
      </c>
      <c r="J223" s="7">
        <f>IF(H223="",0,IF(SUMPRODUCT((Seguimientos!$A$2:$A$1013=A223)*(Seguimientos!$F$2:$F$1013=F223)*(Seguimientos!$B$2:$B$1013&gt;B223)*(Seguimientos!$H$2:$H$1013&lt;&gt;""))=0,1,0))</f>
        <v/>
      </c>
      <c r="K223" s="7">
        <f>A223&amp;"|"&amp;B223</f>
        <v/>
      </c>
      <c r="L223" s="13" t="inlineStr">
        <is>
          <t>Actividad pendiente por cumplir, No soportan evidencia.</t>
        </is>
      </c>
    </row>
    <row r="224">
      <c r="A224" s="7" t="inlineStr">
        <is>
          <t>sgc-2023-18</t>
        </is>
      </c>
      <c r="B224" s="7" t="n">
        <v>6</v>
      </c>
      <c r="C224" s="7" t="inlineStr">
        <is>
          <t>SGC</t>
        </is>
      </c>
      <c r="D224" s="7" t="inlineStr">
        <is>
          <t>2023</t>
        </is>
      </c>
      <c r="E224" s="7" t="n">
        <v>18</v>
      </c>
      <c r="F224" s="8" t="n">
        <v>45930</v>
      </c>
      <c r="G224" s="7" t="inlineStr">
        <is>
          <t>JOAN IMAYINNE GALVIS MORENO</t>
        </is>
      </c>
      <c r="H224" s="14" t="n">
        <v>1.5</v>
      </c>
      <c r="I224" s="15">
        <f>IF(H224="","",H224/2)</f>
        <v/>
      </c>
      <c r="J224" s="7">
        <f>IF(H224="",0,IF(SUMPRODUCT((Seguimientos!$A$2:$A$1013=A224)*(Seguimientos!$F$2:$F$1013=F224)*(Seguimientos!$B$2:$B$1013&gt;B224)*(Seguimientos!$H$2:$H$1013&lt;&gt;""))=0,1,0))</f>
        <v/>
      </c>
      <c r="K224" s="7">
        <f>A224&amp;"|"&amp;B224</f>
        <v/>
      </c>
      <c r="L224" s="13" t="inlineStr">
        <is>
          <t>Actividad pendiente por cumplir, No soportan evidencia.</t>
        </is>
      </c>
    </row>
    <row r="225">
      <c r="A225" s="7" t="inlineStr">
        <is>
          <t>sgc-2023-18</t>
        </is>
      </c>
      <c r="B225" s="7" t="n">
        <v>7</v>
      </c>
      <c r="C225" s="7" t="inlineStr">
        <is>
          <t>SGC</t>
        </is>
      </c>
      <c r="D225" s="7" t="inlineStr">
        <is>
          <t>2023</t>
        </is>
      </c>
      <c r="E225" s="7" t="n">
        <v>18</v>
      </c>
      <c r="F225" s="8" t="n">
        <v>46021</v>
      </c>
      <c r="G225" s="7" t="inlineStr">
        <is>
          <t>JOAN IMAYINNE GALVIS MORENO</t>
        </is>
      </c>
      <c r="H225" s="14" t="n">
        <v>1.5</v>
      </c>
      <c r="I225" s="15">
        <f>IF(H225="","",H225/2)</f>
        <v/>
      </c>
      <c r="J225" s="7">
        <f>IF(H225="",0,IF(SUMPRODUCT((Seguimientos!$A$2:$A$1013=A225)*(Seguimientos!$F$2:$F$1013=F225)*(Seguimientos!$B$2:$B$1013&gt;B225)*(Seguimientos!$H$2:$H$1013&lt;&gt;""))=0,1,0))</f>
        <v/>
      </c>
      <c r="K225" s="7">
        <f>A225&amp;"|"&amp;B225</f>
        <v/>
      </c>
      <c r="L225" s="13" t="inlineStr">
        <is>
          <t>Actividad pendiente por cumplir, No soportan evidencia.</t>
        </is>
      </c>
    </row>
    <row r="226">
      <c r="A226" s="7" t="inlineStr">
        <is>
          <t>sgc-2023-18</t>
        </is>
      </c>
      <c r="B226" s="7" t="n">
        <v>8</v>
      </c>
      <c r="C226" s="7" t="inlineStr">
        <is>
          <t>SGC</t>
        </is>
      </c>
      <c r="D226" s="7" t="inlineStr">
        <is>
          <t>2023</t>
        </is>
      </c>
      <c r="E226" s="7" t="n">
        <v>18</v>
      </c>
      <c r="F226" s="8" t="n">
        <v>46142</v>
      </c>
      <c r="G226" s="7" t="inlineStr">
        <is>
          <t>JOAN IMAYINNE GALVIS MORENO</t>
        </is>
      </c>
      <c r="H226" s="14" t="n">
        <v>1.5</v>
      </c>
      <c r="I226" s="15">
        <f>IF(H226="","",H226/2)</f>
        <v/>
      </c>
      <c r="J226" s="7">
        <f>IF(H226="",0,IF(SUMPRODUCT((Seguimientos!$A$2:$A$1013=A226)*(Seguimientos!$F$2:$F$1013=F226)*(Seguimientos!$B$2:$B$1013&gt;B226)*(Seguimientos!$H$2:$H$1013&lt;&gt;""))=0,1,0))</f>
        <v/>
      </c>
      <c r="K226" s="7">
        <f>A226&amp;"|"&amp;B226</f>
        <v/>
      </c>
      <c r="L226" s="13" t="inlineStr"/>
    </row>
    <row r="227">
      <c r="A227" s="7" t="inlineStr">
        <is>
          <t>sgc-2023-18</t>
        </is>
      </c>
      <c r="B227" s="7" t="n">
        <v>9</v>
      </c>
      <c r="C227" s="7" t="inlineStr">
        <is>
          <t>SGC</t>
        </is>
      </c>
      <c r="D227" s="7" t="inlineStr">
        <is>
          <t>2023</t>
        </is>
      </c>
      <c r="E227" s="7" t="n">
        <v>18</v>
      </c>
      <c r="F227" s="8" t="n">
        <v>46203</v>
      </c>
      <c r="G227" s="7" t="inlineStr">
        <is>
          <t>JOAN IMAYINNE GALVIS MORENO</t>
        </is>
      </c>
      <c r="H227" s="14" t="n">
        <v>1.5</v>
      </c>
      <c r="I227" s="15">
        <f>IF(H227="","",H227/2)</f>
        <v/>
      </c>
      <c r="J227" s="7">
        <f>IF(H227="",0,IF(SUMPRODUCT((Seguimientos!$A$2:$A$1013=A227)*(Seguimientos!$F$2:$F$1013=F227)*(Seguimientos!$B$2:$B$1013&gt;B227)*(Seguimientos!$H$2:$H$1013&lt;&gt;""))=0,1,0))</f>
        <v/>
      </c>
      <c r="K227" s="7">
        <f>A227&amp;"|"&amp;B227</f>
        <v/>
      </c>
      <c r="L227" s="13" t="inlineStr">
        <is>
          <t>Se remite por parte de la oficina de Dialogando con el Mundo informe sobre el seguimiento de las actividades que realiza, sin embargo no se evidencia si estos cumplimientos son efectivos para la academia o como estan siento valorados.</t>
        </is>
      </c>
    </row>
    <row r="228">
      <c r="A228" s="7" t="inlineStr">
        <is>
          <t>sgc-2023-19</t>
        </is>
      </c>
      <c r="B228" s="7" t="n">
        <v>1</v>
      </c>
      <c r="C228" s="7" t="inlineStr">
        <is>
          <t>SGC</t>
        </is>
      </c>
      <c r="D228" s="7" t="inlineStr">
        <is>
          <t>2023</t>
        </is>
      </c>
      <c r="E228" s="7" t="n">
        <v>19</v>
      </c>
      <c r="F228" s="8" t="n">
        <v>45405</v>
      </c>
      <c r="G228" s="7" t="inlineStr">
        <is>
          <t>DANIEL EDUARDO SOTO BERNAL</t>
        </is>
      </c>
      <c r="H228" s="14" t="n">
        <v>0</v>
      </c>
      <c r="I228" s="15">
        <f>IF(H228="","",H228/2)</f>
        <v/>
      </c>
      <c r="J228" s="7">
        <f>IF(H228="",0,IF(SUMPRODUCT((Seguimientos!$A$2:$A$1013=A228)*(Seguimientos!$F$2:$F$1013=F228)*(Seguimientos!$B$2:$B$1013&gt;B228)*(Seguimientos!$H$2:$H$1013&lt;&gt;""))=0,1,0))</f>
        <v/>
      </c>
      <c r="K228" s="7">
        <f>A228&amp;"|"&amp;B228</f>
        <v/>
      </c>
      <c r="L228" s="13" t="inlineStr">
        <is>
          <t>Actividad pendiente por cumplir, No soportan evidencia.</t>
        </is>
      </c>
    </row>
    <row r="229">
      <c r="A229" s="7" t="inlineStr">
        <is>
          <t>sgc-2023-19</t>
        </is>
      </c>
      <c r="B229" s="7" t="n">
        <v>2</v>
      </c>
      <c r="C229" s="7" t="inlineStr">
        <is>
          <t>SGC</t>
        </is>
      </c>
      <c r="D229" s="7" t="inlineStr">
        <is>
          <t>2023</t>
        </is>
      </c>
      <c r="E229" s="7" t="n">
        <v>19</v>
      </c>
      <c r="F229" s="8" t="n">
        <v>45497</v>
      </c>
      <c r="G229" s="7" t="inlineStr">
        <is>
          <t>DANIEL EDUARDO SOTO BERNAL</t>
        </is>
      </c>
      <c r="H229" s="14" t="n">
        <v>0</v>
      </c>
      <c r="I229" s="15">
        <f>IF(H229="","",H229/2)</f>
        <v/>
      </c>
      <c r="J229" s="7">
        <f>IF(H229="",0,IF(SUMPRODUCT((Seguimientos!$A$2:$A$1013=A229)*(Seguimientos!$F$2:$F$1013=F229)*(Seguimientos!$B$2:$B$1013&gt;B229)*(Seguimientos!$H$2:$H$1013&lt;&gt;""))=0,1,0))</f>
        <v/>
      </c>
      <c r="K229" s="7">
        <f>A229&amp;"|"&amp;B229</f>
        <v/>
      </c>
      <c r="L229" s="13" t="inlineStr">
        <is>
          <t>Actualmente esta actividad se encuentra en pausa, una vez, se surta el proceso para la emisión de los lineamientos y el manual, se reactivaran las mesas de trabajo con el área de equidad y diversidad y con el sistema de seguridad en el trabajo.</t>
        </is>
      </c>
    </row>
    <row r="230">
      <c r="A230" s="7" t="inlineStr">
        <is>
          <t>sgc-2023-19</t>
        </is>
      </c>
      <c r="B230" s="7" t="n">
        <v>3</v>
      </c>
      <c r="C230" s="7" t="inlineStr">
        <is>
          <t>SGC</t>
        </is>
      </c>
      <c r="D230" s="7" t="inlineStr">
        <is>
          <t>2023</t>
        </is>
      </c>
      <c r="E230" s="7" t="n">
        <v>19</v>
      </c>
      <c r="F230" s="8" t="n">
        <v>45583</v>
      </c>
      <c r="G230" s="7" t="inlineStr">
        <is>
          <t>DANIEL EDUARDO SOTO BERNAL</t>
        </is>
      </c>
      <c r="H230" s="14" t="n">
        <v>1</v>
      </c>
      <c r="I230" s="15">
        <f>IF(H230="","",H230/2)</f>
        <v/>
      </c>
      <c r="J230" s="7">
        <f>IF(H230="",0,IF(SUMPRODUCT((Seguimientos!$A$2:$A$1013=A230)*(Seguimientos!$F$2:$F$1013=F230)*(Seguimientos!$B$2:$B$1013&gt;B230)*(Seguimientos!$H$2:$H$1013&lt;&gt;""))=0,1,0))</f>
        <v/>
      </c>
      <c r="K230" s="7">
        <f>A230&amp;"|"&amp;B230</f>
        <v/>
      </c>
      <c r="L230" s="13" t="inlineStr">
        <is>
          <t>Conforme a la necesidad evidenciada y con la finalidad de dar cumplimiento a los criterios de accesibilidad a la planta física de la institución, la Jefatura de Recursos Físicos y Servicios Generales en articulación con la Dirección de Bienes y Servicios, Planeación Institucional y Equidad y Diversidad, ha avanzado en la adecuación de algunos escenarios de la planta física tendientes a garantizar el acceso a todos los miembros de la comunidad universitaria, entre los avances se cuentan los siguientes: 1. Señalización y adecuación de zonas de estacionamiento temporal para personas con movilidad reducida en la sede Fusagasugá, Centro Académico y Deportivo, Extensión Facatativá, Seccional Girardot, Extensión Soacha. 2. Elaboración y mantenimiento de rampas de acceso en la seccional Girardot y Fusagasugá. 3. Mantenimiento recurrente a ascensores con el objetivo de garantizar la continuidad de este servicio.</t>
        </is>
      </c>
    </row>
    <row r="231">
      <c r="A231" s="7" t="inlineStr">
        <is>
          <t>sgc-2023-19</t>
        </is>
      </c>
      <c r="B231" s="7" t="n">
        <v>4</v>
      </c>
      <c r="C231" s="7" t="inlineStr">
        <is>
          <t>SGC</t>
        </is>
      </c>
      <c r="D231" s="7" t="inlineStr">
        <is>
          <t>2023</t>
        </is>
      </c>
      <c r="E231" s="7" t="n">
        <v>19</v>
      </c>
      <c r="F231" s="8" t="n">
        <v>45777</v>
      </c>
      <c r="G231" s="7" t="inlineStr">
        <is>
          <t>DANIEL EDUARDO SOTO BERNAL</t>
        </is>
      </c>
      <c r="H231" s="14" t="n">
        <v>1</v>
      </c>
      <c r="I231" s="15">
        <f>IF(H231="","",H231/2)</f>
        <v/>
      </c>
      <c r="J231" s="7">
        <f>IF(H231="",0,IF(SUMPRODUCT((Seguimientos!$A$2:$A$1013=A231)*(Seguimientos!$F$2:$F$1013=F231)*(Seguimientos!$B$2:$B$1013&gt;B231)*(Seguimientos!$H$2:$H$1013&lt;&gt;""))=0,1,0))</f>
        <v/>
      </c>
      <c r="K231" s="7">
        <f>A231&amp;"|"&amp;B231</f>
        <v/>
      </c>
      <c r="L231" s="13" t="inlineStr">
        <is>
          <t>Actividad pendiente por cumplir, No soportan evidencia.</t>
        </is>
      </c>
    </row>
    <row r="232">
      <c r="A232" s="7" t="inlineStr">
        <is>
          <t>sgc-2023-19</t>
        </is>
      </c>
      <c r="B232" s="7" t="n">
        <v>5</v>
      </c>
      <c r="C232" s="7" t="inlineStr">
        <is>
          <t>SGC</t>
        </is>
      </c>
      <c r="D232" s="7" t="inlineStr">
        <is>
          <t>2023</t>
        </is>
      </c>
      <c r="E232" s="7" t="n">
        <v>19</v>
      </c>
      <c r="F232" s="8" t="n">
        <v>45838</v>
      </c>
      <c r="G232" s="7" t="inlineStr">
        <is>
          <t>DANIEL EDUARDO SOTO BERNAL</t>
        </is>
      </c>
      <c r="H232" s="14" t="n">
        <v>1</v>
      </c>
      <c r="I232" s="15">
        <f>IF(H232="","",H232/2)</f>
        <v/>
      </c>
      <c r="J232" s="7">
        <f>IF(H232="",0,IF(SUMPRODUCT((Seguimientos!$A$2:$A$1013=A232)*(Seguimientos!$F$2:$F$1013=F232)*(Seguimientos!$B$2:$B$1013&gt;B232)*(Seguimientos!$H$2:$H$1013&lt;&gt;""))=0,1,0))</f>
        <v/>
      </c>
      <c r="K232" s="7">
        <f>A232&amp;"|"&amp;B232</f>
        <v/>
      </c>
      <c r="L232" s="13" t="inlineStr">
        <is>
          <t>Actividad pendiente por cumplir, No soportan evidencia.</t>
        </is>
      </c>
    </row>
    <row r="233">
      <c r="A233" s="7" t="inlineStr">
        <is>
          <t>sgc-2023-19</t>
        </is>
      </c>
      <c r="B233" s="7" t="n">
        <v>6</v>
      </c>
      <c r="C233" s="7" t="inlineStr">
        <is>
          <t>SGC</t>
        </is>
      </c>
      <c r="D233" s="7" t="inlineStr">
        <is>
          <t>2023</t>
        </is>
      </c>
      <c r="E233" s="7" t="n">
        <v>19</v>
      </c>
      <c r="F233" s="8" t="n">
        <v>45930</v>
      </c>
      <c r="G233" s="7" t="inlineStr">
        <is>
          <t>JOAN IMAYINNE GALVIS MORENO</t>
        </is>
      </c>
      <c r="H233" s="14" t="n">
        <v>1</v>
      </c>
      <c r="I233" s="15">
        <f>IF(H233="","",H233/2)</f>
        <v/>
      </c>
      <c r="J233" s="7">
        <f>IF(H233="",0,IF(SUMPRODUCT((Seguimientos!$A$2:$A$1013=A233)*(Seguimientos!$F$2:$F$1013=F233)*(Seguimientos!$B$2:$B$1013&gt;B233)*(Seguimientos!$H$2:$H$1013&lt;&gt;""))=0,1,0))</f>
        <v/>
      </c>
      <c r="K233" s="7">
        <f>A233&amp;"|"&amp;B233</f>
        <v/>
      </c>
      <c r="L233" s="13" t="inlineStr">
        <is>
          <t>Actividad pendiente por cumplir, No soportan evidencia.</t>
        </is>
      </c>
    </row>
    <row r="234">
      <c r="A234" s="7" t="inlineStr">
        <is>
          <t>sgc-2023-19</t>
        </is>
      </c>
      <c r="B234" s="7" t="n">
        <v>7</v>
      </c>
      <c r="C234" s="7" t="inlineStr">
        <is>
          <t>SGC</t>
        </is>
      </c>
      <c r="D234" s="7" t="inlineStr">
        <is>
          <t>2023</t>
        </is>
      </c>
      <c r="E234" s="7" t="n">
        <v>19</v>
      </c>
      <c r="F234" s="8" t="n">
        <v>46021</v>
      </c>
      <c r="G234" s="7" t="inlineStr">
        <is>
          <t>JOAN IMAYINNE GALVIS MORENO</t>
        </is>
      </c>
      <c r="H234" s="14" t="n">
        <v>1</v>
      </c>
      <c r="I234" s="15">
        <f>IF(H234="","",H234/2)</f>
        <v/>
      </c>
      <c r="J234" s="7">
        <f>IF(H234="",0,IF(SUMPRODUCT((Seguimientos!$A$2:$A$1013=A234)*(Seguimientos!$F$2:$F$1013=F234)*(Seguimientos!$B$2:$B$1013&gt;B234)*(Seguimientos!$H$2:$H$1013&lt;&gt;""))=0,1,0))</f>
        <v/>
      </c>
      <c r="K234" s="7">
        <f>A234&amp;"|"&amp;B234</f>
        <v/>
      </c>
      <c r="L234" s="13" t="inlineStr">
        <is>
          <t>Actividad pendiente por cumplir, No soportan evidencia.</t>
        </is>
      </c>
    </row>
    <row r="235">
      <c r="A235" s="7" t="inlineStr">
        <is>
          <t>sgc-2023-19</t>
        </is>
      </c>
      <c r="B235" s="7" t="n">
        <v>8</v>
      </c>
      <c r="C235" s="7" t="inlineStr">
        <is>
          <t>SGC</t>
        </is>
      </c>
      <c r="D235" s="7" t="inlineStr">
        <is>
          <t>2023</t>
        </is>
      </c>
      <c r="E235" s="7" t="n">
        <v>19</v>
      </c>
      <c r="F235" s="8" t="n">
        <v>46142</v>
      </c>
      <c r="G235" s="7" t="inlineStr">
        <is>
          <t>JOAN IMAYINNE GALVIS MORENO</t>
        </is>
      </c>
      <c r="H235" s="14" t="n">
        <v>1</v>
      </c>
      <c r="I235" s="15">
        <f>IF(H235="","",H235/2)</f>
        <v/>
      </c>
      <c r="J235" s="7">
        <f>IF(H235="",0,IF(SUMPRODUCT((Seguimientos!$A$2:$A$1013=A235)*(Seguimientos!$F$2:$F$1013=F235)*(Seguimientos!$B$2:$B$1013&gt;B235)*(Seguimientos!$H$2:$H$1013&lt;&gt;""))=0,1,0))</f>
        <v/>
      </c>
      <c r="K235" s="7">
        <f>A235&amp;"|"&amp;B235</f>
        <v/>
      </c>
      <c r="L235" s="13" t="inlineStr"/>
    </row>
    <row r="236">
      <c r="A236" s="7" t="inlineStr">
        <is>
          <t>sgc-2023-19</t>
        </is>
      </c>
      <c r="B236" s="7" t="n">
        <v>9</v>
      </c>
      <c r="C236" s="7" t="inlineStr">
        <is>
          <t>SGC</t>
        </is>
      </c>
      <c r="D236" s="7" t="inlineStr">
        <is>
          <t>2023</t>
        </is>
      </c>
      <c r="E236" s="7" t="n">
        <v>19</v>
      </c>
      <c r="F236" s="8" t="n">
        <v>46203</v>
      </c>
      <c r="G236" s="7" t="inlineStr">
        <is>
          <t>JOAN IMAYINNE GALVIS MORENO</t>
        </is>
      </c>
      <c r="H236" s="14" t="n">
        <v>1</v>
      </c>
      <c r="I236" s="15">
        <f>IF(H236="","",H236/2)</f>
        <v/>
      </c>
      <c r="J236" s="7">
        <f>IF(H236="",0,IF(SUMPRODUCT((Seguimientos!$A$2:$A$1013=A236)*(Seguimientos!$F$2:$F$1013=F236)*(Seguimientos!$B$2:$B$1013&gt;B236)*(Seguimientos!$H$2:$H$1013&lt;&gt;""))=0,1,0))</f>
        <v/>
      </c>
      <c r="K236" s="7">
        <f>A236&amp;"|"&amp;B236</f>
        <v/>
      </c>
      <c r="L236" s="13" t="inlineStr"/>
    </row>
    <row r="237">
      <c r="A237" s="7" t="inlineStr">
        <is>
          <t>sgc-2023-20</t>
        </is>
      </c>
      <c r="B237" s="7" t="n">
        <v>1</v>
      </c>
      <c r="C237" s="7" t="inlineStr">
        <is>
          <t>SGC</t>
        </is>
      </c>
      <c r="D237" s="7" t="inlineStr">
        <is>
          <t>2023</t>
        </is>
      </c>
      <c r="E237" s="7" t="n">
        <v>20</v>
      </c>
      <c r="F237" s="8" t="n">
        <v>45405</v>
      </c>
      <c r="G237" s="7" t="inlineStr">
        <is>
          <t>DANIEL EDUARDO SOTO BERNAL</t>
        </is>
      </c>
      <c r="H237" s="14" t="n">
        <v>1</v>
      </c>
      <c r="I237" s="15">
        <f>IF(H237="","",H237/2)</f>
        <v/>
      </c>
      <c r="J237" s="7">
        <f>IF(H237="",0,IF(SUMPRODUCT((Seguimientos!$A$2:$A$1013=A237)*(Seguimientos!$F$2:$F$1013=F237)*(Seguimientos!$B$2:$B$1013&gt;B237)*(Seguimientos!$H$2:$H$1013&lt;&gt;""))=0,1,0))</f>
        <v/>
      </c>
      <c r="K237" s="7">
        <f>A237&amp;"|"&amp;B237</f>
        <v/>
      </c>
      <c r="L237" s="13" t="inlineStr">
        <is>
          <t>Se hace requerimiento al área de educación virtual y a distancia. En seguimiento,</t>
        </is>
      </c>
    </row>
    <row r="238">
      <c r="A238" s="7" t="inlineStr">
        <is>
          <t>sgc-2023-20</t>
        </is>
      </c>
      <c r="B238" s="7" t="n">
        <v>2</v>
      </c>
      <c r="C238" s="7" t="inlineStr">
        <is>
          <t>SGC</t>
        </is>
      </c>
      <c r="D238" s="7" t="inlineStr">
        <is>
          <t>2023</t>
        </is>
      </c>
      <c r="E238" s="7" t="n">
        <v>20</v>
      </c>
      <c r="F238" s="8" t="n">
        <v>45497</v>
      </c>
      <c r="G238" s="7" t="inlineStr">
        <is>
          <t>DANIEL EDUARDO SOTO BERNAL</t>
        </is>
      </c>
      <c r="H238" s="14" t="n">
        <v>1.5</v>
      </c>
      <c r="I238" s="15">
        <f>IF(H238="","",H238/2)</f>
        <v/>
      </c>
      <c r="J238" s="7">
        <f>IF(H238="",0,IF(SUMPRODUCT((Seguimientos!$A$2:$A$1013=A238)*(Seguimientos!$F$2:$F$1013=F238)*(Seguimientos!$B$2:$B$1013&gt;B238)*(Seguimientos!$H$2:$H$1013&lt;&gt;""))=0,1,0))</f>
        <v/>
      </c>
      <c r="K238" s="7">
        <f>A238&amp;"|"&amp;B238</f>
        <v/>
      </c>
      <c r="L238" s="13" t="inlineStr">
        <is>
          <t>En lo concerniente al Recuso Educativo Digital Las 4 Líneas de Defensa, Solicitado por la oficina de Control Interno de la Universidad de Cundinamarca, nos permitimos informar que el trabajo se inició la última semana del mes de mayo, la solicitante conoce y aprobó el contenido del RED diseñado. Se acordó fecha de entrega final para el 14 de agosto y hoy en día el estado de RED en mención.</t>
        </is>
      </c>
    </row>
    <row r="239">
      <c r="A239" s="7" t="inlineStr">
        <is>
          <t>sgc-2023-20</t>
        </is>
      </c>
      <c r="B239" s="7" t="n">
        <v>3</v>
      </c>
      <c r="C239" s="7" t="inlineStr">
        <is>
          <t>SGC</t>
        </is>
      </c>
      <c r="D239" s="7" t="inlineStr">
        <is>
          <t>2023</t>
        </is>
      </c>
      <c r="E239" s="7" t="n">
        <v>20</v>
      </c>
      <c r="F239" s="8" t="n">
        <v>45583</v>
      </c>
      <c r="G239" s="7" t="inlineStr">
        <is>
          <t>DANIEL EDUARDO SOTO BERNAL</t>
        </is>
      </c>
      <c r="H239" s="14" t="n">
        <v>1.5</v>
      </c>
      <c r="I239" s="15">
        <f>IF(H239="","",H239/2)</f>
        <v/>
      </c>
      <c r="J239" s="7">
        <f>IF(H239="",0,IF(SUMPRODUCT((Seguimientos!$A$2:$A$1013=A239)*(Seguimientos!$F$2:$F$1013=F239)*(Seguimientos!$B$2:$B$1013&gt;B239)*(Seguimientos!$H$2:$H$1013&lt;&gt;""))=0,1,0))</f>
        <v/>
      </c>
      <c r="K239" s="7">
        <f>A239&amp;"|"&amp;B239</f>
        <v/>
      </c>
      <c r="L239" s="13" t="inlineStr">
        <is>
          <t>El curso virtual, en el cual se profundice sobre las líneas de defensa en apoyo con la oficina de Educación Virtual y a Distancia, se entregó a la Oficina de Control Interno en la segunda semana del mes de noviembre de 2024, se hará la prueba piloto en funcionarios de la Dirección de Control Interno y posteriormente será aplicado en el modelo de contratación de los funcionarios, aplicado docente y estudiantes de carreras afines para su conocimiento y aprobación en MOOCs.</t>
        </is>
      </c>
    </row>
    <row r="240">
      <c r="A240" s="7" t="inlineStr">
        <is>
          <t>sgc-2023-20</t>
        </is>
      </c>
      <c r="B240" s="7" t="n">
        <v>4</v>
      </c>
      <c r="C240" s="7" t="inlineStr">
        <is>
          <t>SGC</t>
        </is>
      </c>
      <c r="D240" s="7" t="inlineStr">
        <is>
          <t>2023</t>
        </is>
      </c>
      <c r="E240" s="7" t="n">
        <v>20</v>
      </c>
      <c r="F240" s="8" t="n">
        <v>45777</v>
      </c>
      <c r="G240" s="7" t="inlineStr">
        <is>
          <t>DANIEL EDUARDO SOTO BERNAL</t>
        </is>
      </c>
      <c r="H240" s="14" t="n">
        <v>1.5</v>
      </c>
      <c r="I240" s="15">
        <f>IF(H240="","",H240/2)</f>
        <v/>
      </c>
      <c r="J240" s="7">
        <f>IF(H240="",0,IF(SUMPRODUCT((Seguimientos!$A$2:$A$1013=A240)*(Seguimientos!$F$2:$F$1013=F240)*(Seguimientos!$B$2:$B$1013&gt;B240)*(Seguimientos!$H$2:$H$1013&lt;&gt;""))=0,1,0))</f>
        <v/>
      </c>
      <c r="K240" s="7">
        <f>A240&amp;"|"&amp;B240</f>
        <v/>
      </c>
      <c r="L240" s="13" t="inlineStr">
        <is>
          <t>El curso virtual de lineas de defensa ya paso las pruebas pilotos por parte de control interno. Pendiente respuesta de Educacion Virtual y a distancia para las correcciones y entrega final,</t>
        </is>
      </c>
    </row>
    <row r="241">
      <c r="A241" s="7" t="inlineStr">
        <is>
          <t>sgc-2023-20</t>
        </is>
      </c>
      <c r="B241" s="7" t="n">
        <v>5</v>
      </c>
      <c r="C241" s="7" t="inlineStr">
        <is>
          <t>SGC</t>
        </is>
      </c>
      <c r="D241" s="7" t="inlineStr">
        <is>
          <t>2023</t>
        </is>
      </c>
      <c r="E241" s="7" t="n">
        <v>20</v>
      </c>
      <c r="F241" s="8" t="n">
        <v>45838</v>
      </c>
      <c r="G241" s="7" t="inlineStr">
        <is>
          <t>DANIEL EDUARDO SOTO BERNAL</t>
        </is>
      </c>
      <c r="H241" s="14" t="n">
        <v>1.5</v>
      </c>
      <c r="I241" s="15">
        <f>IF(H241="","",H241/2)</f>
        <v/>
      </c>
      <c r="J241" s="7">
        <f>IF(H241="",0,IF(SUMPRODUCT((Seguimientos!$A$2:$A$1013=A241)*(Seguimientos!$F$2:$F$1013=F241)*(Seguimientos!$B$2:$B$1013&gt;B241)*(Seguimientos!$H$2:$H$1013&lt;&gt;""))=0,1,0))</f>
        <v/>
      </c>
      <c r="K241" s="7">
        <f>A241&amp;"|"&amp;B241</f>
        <v/>
      </c>
      <c r="L241" s="13" t="inlineStr">
        <is>
          <t>Desde la Oficina de Educación Virtual y a Distancia se hace la entrega oficial del curso de líneas de defensa a la Dirección de Control Interno la cual espera lanzar en las aulas virtuales requisito de inducción y reinducción para personal administrativo y así tener este curso aprobado para la contratación.</t>
        </is>
      </c>
    </row>
    <row r="242">
      <c r="A242" s="7" t="inlineStr">
        <is>
          <t>sgc-2023-20</t>
        </is>
      </c>
      <c r="B242" s="7" t="n">
        <v>6</v>
      </c>
      <c r="C242" s="7" t="inlineStr">
        <is>
          <t>SGC</t>
        </is>
      </c>
      <c r="D242" s="7" t="inlineStr">
        <is>
          <t>2023</t>
        </is>
      </c>
      <c r="E242" s="7" t="n">
        <v>20</v>
      </c>
      <c r="F242" s="8" t="n">
        <v>45930</v>
      </c>
      <c r="G242" s="7" t="inlineStr">
        <is>
          <t>JOAN IMAYINNE GALVIS MORENO</t>
        </is>
      </c>
      <c r="H242" s="14" t="n">
        <v>1.5</v>
      </c>
      <c r="I242" s="15">
        <f>IF(H242="","",H242/2)</f>
        <v/>
      </c>
      <c r="J242" s="7">
        <f>IF(H242="",0,IF(SUMPRODUCT((Seguimientos!$A$2:$A$1013=A242)*(Seguimientos!$F$2:$F$1013=F242)*(Seguimientos!$B$2:$B$1013&gt;B242)*(Seguimientos!$H$2:$H$1013&lt;&gt;""))=0,1,0))</f>
        <v/>
      </c>
      <c r="K242" s="7">
        <f>A242&amp;"|"&amp;B242</f>
        <v/>
      </c>
      <c r="L242" s="13" t="inlineStr">
        <is>
          <t>Actividad pendiente por cumplir, No soportan evidencia.</t>
        </is>
      </c>
    </row>
    <row r="243">
      <c r="A243" s="7" t="inlineStr">
        <is>
          <t>sgc-2023-20</t>
        </is>
      </c>
      <c r="B243" s="7" t="n">
        <v>7</v>
      </c>
      <c r="C243" s="7" t="inlineStr">
        <is>
          <t>SGC</t>
        </is>
      </c>
      <c r="D243" s="7" t="inlineStr">
        <is>
          <t>2023</t>
        </is>
      </c>
      <c r="E243" s="7" t="n">
        <v>20</v>
      </c>
      <c r="F243" s="8" t="n">
        <v>46021</v>
      </c>
      <c r="G243" s="7" t="inlineStr">
        <is>
          <t>JOAN IMAYINNE GALVIS MORENO</t>
        </is>
      </c>
      <c r="H243" s="14" t="n">
        <v>1.5</v>
      </c>
      <c r="I243" s="15">
        <f>IF(H243="","",H243/2)</f>
        <v/>
      </c>
      <c r="J243" s="7">
        <f>IF(H243="",0,IF(SUMPRODUCT((Seguimientos!$A$2:$A$1013=A243)*(Seguimientos!$F$2:$F$1013=F243)*(Seguimientos!$B$2:$B$1013&gt;B243)*(Seguimientos!$H$2:$H$1013&lt;&gt;""))=0,1,0))</f>
        <v/>
      </c>
      <c r="K243" s="7">
        <f>A243&amp;"|"&amp;B243</f>
        <v/>
      </c>
      <c r="L243" s="13" t="inlineStr">
        <is>
          <t>Actividad pendiente por cumplir, No soportan evidencia.</t>
        </is>
      </c>
    </row>
    <row r="244">
      <c r="A244" s="7" t="inlineStr">
        <is>
          <t>sgc-2023-20</t>
        </is>
      </c>
      <c r="B244" s="7" t="n">
        <v>8</v>
      </c>
      <c r="C244" s="7" t="inlineStr">
        <is>
          <t>SGC</t>
        </is>
      </c>
      <c r="D244" s="7" t="inlineStr">
        <is>
          <t>2023</t>
        </is>
      </c>
      <c r="E244" s="7" t="n">
        <v>20</v>
      </c>
      <c r="F244" s="8" t="n">
        <v>46142</v>
      </c>
      <c r="G244" s="7" t="inlineStr">
        <is>
          <t>JOAN IMAYINNE GALVIS MORENO</t>
        </is>
      </c>
      <c r="H244" s="14" t="n">
        <v>1.5</v>
      </c>
      <c r="I244" s="15">
        <f>IF(H244="","",H244/2)</f>
        <v/>
      </c>
      <c r="J244" s="7">
        <f>IF(H244="",0,IF(SUMPRODUCT((Seguimientos!$A$2:$A$1013=A244)*(Seguimientos!$F$2:$F$1013=F244)*(Seguimientos!$B$2:$B$1013&gt;B244)*(Seguimientos!$H$2:$H$1013&lt;&gt;""))=0,1,0))</f>
        <v/>
      </c>
      <c r="K244" s="7">
        <f>A244&amp;"|"&amp;B244</f>
        <v/>
      </c>
      <c r="L244" s="13" t="inlineStr">
        <is>
          <t>Se encuentra en proceso de validación, con el fin de realizar su lanzamiento y puesta en funcionamiento.</t>
        </is>
      </c>
    </row>
    <row r="245">
      <c r="A245" s="7" t="inlineStr">
        <is>
          <t>sgc-2023-20</t>
        </is>
      </c>
      <c r="B245" s="7" t="n">
        <v>9</v>
      </c>
      <c r="C245" s="7" t="inlineStr">
        <is>
          <t>SGC</t>
        </is>
      </c>
      <c r="D245" s="7" t="inlineStr">
        <is>
          <t>2023</t>
        </is>
      </c>
      <c r="E245" s="7" t="n">
        <v>20</v>
      </c>
      <c r="F245" s="8" t="n">
        <v>46203</v>
      </c>
      <c r="G245" s="7" t="inlineStr">
        <is>
          <t>JOAN IMAYINNE GALVIS MORENO</t>
        </is>
      </c>
      <c r="H245" s="14" t="n">
        <v>1.5</v>
      </c>
      <c r="I245" s="15">
        <f>IF(H245="","",H245/2)</f>
        <v/>
      </c>
      <c r="J245" s="7">
        <f>IF(H245="",0,IF(SUMPRODUCT((Seguimientos!$A$2:$A$1013=A245)*(Seguimientos!$F$2:$F$1013=F245)*(Seguimientos!$B$2:$B$1013&gt;B245)*(Seguimientos!$H$2:$H$1013&lt;&gt;""))=0,1,0))</f>
        <v/>
      </c>
      <c r="K245" s="7">
        <f>A245&amp;"|"&amp;B245</f>
        <v/>
      </c>
      <c r="L245" s="13" t="inlineStr"/>
    </row>
    <row r="246">
      <c r="A246" s="7" t="inlineStr">
        <is>
          <t>sgc-2023-21</t>
        </is>
      </c>
      <c r="B246" s="7" t="n">
        <v>1</v>
      </c>
      <c r="C246" s="7" t="inlineStr">
        <is>
          <t>SGC</t>
        </is>
      </c>
      <c r="D246" s="7" t="inlineStr">
        <is>
          <t>2023</t>
        </is>
      </c>
      <c r="E246" s="7" t="n">
        <v>21</v>
      </c>
      <c r="F246" s="8" t="n">
        <v>45405</v>
      </c>
      <c r="G246" s="7" t="inlineStr">
        <is>
          <t>DANIEL EDUARDO SOTO BERNAL</t>
        </is>
      </c>
      <c r="H246" s="14" t="n">
        <v>2</v>
      </c>
      <c r="I246" s="15">
        <f>IF(H246="","",H246/2)</f>
        <v/>
      </c>
      <c r="J246" s="7">
        <f>IF(H246="",0,IF(SUMPRODUCT((Seguimientos!$A$2:$A$1013=A246)*(Seguimientos!$F$2:$F$1013=F246)*(Seguimientos!$B$2:$B$1013&gt;B246)*(Seguimientos!$H$2:$H$1013&lt;&gt;""))=0,1,0))</f>
        <v/>
      </c>
      <c r="K246" s="7">
        <f>A246&amp;"|"&amp;B246</f>
        <v/>
      </c>
      <c r="L246" s="13" t="inlineStr">
        <is>
          <t>Se aprueba Plan anual de auditoria 2024 basado en la metodología Universo de Auditoria basada en riesgos que establece el DAFP</t>
        </is>
      </c>
    </row>
    <row r="247">
      <c r="A247" s="7" t="inlineStr">
        <is>
          <t>sgc-2023-21</t>
        </is>
      </c>
      <c r="B247" s="7" t="n">
        <v>2</v>
      </c>
      <c r="C247" s="7" t="inlineStr">
        <is>
          <t>SGC</t>
        </is>
      </c>
      <c r="D247" s="7" t="inlineStr">
        <is>
          <t>2023</t>
        </is>
      </c>
      <c r="E247" s="7" t="n">
        <v>21</v>
      </c>
      <c r="F247" s="8" t="n">
        <v>45497</v>
      </c>
      <c r="G247" s="7" t="inlineStr">
        <is>
          <t>DANIEL EDUARDO SOTO BERNAL</t>
        </is>
      </c>
      <c r="H247" s="14" t="n">
        <v>2</v>
      </c>
      <c r="I247" s="15">
        <f>IF(H247="","",H247/2)</f>
        <v/>
      </c>
      <c r="J247" s="7">
        <f>IF(H247="",0,IF(SUMPRODUCT((Seguimientos!$A$2:$A$1013=A247)*(Seguimientos!$F$2:$F$1013=F247)*(Seguimientos!$B$2:$B$1013&gt;B247)*(Seguimientos!$H$2:$H$1013&lt;&gt;""))=0,1,0))</f>
        <v/>
      </c>
      <c r="K247" s="7">
        <f>A247&amp;"|"&amp;B247</f>
        <v/>
      </c>
      <c r="L247" s="13" t="inlineStr">
        <is>
          <t>ACTIVIDAD COMPLETADA</t>
        </is>
      </c>
    </row>
    <row r="248">
      <c r="A248" s="7" t="inlineStr">
        <is>
          <t>sgc-2023-21</t>
        </is>
      </c>
      <c r="B248" s="7" t="n">
        <v>3</v>
      </c>
      <c r="C248" s="7" t="inlineStr">
        <is>
          <t>SGC</t>
        </is>
      </c>
      <c r="D248" s="7" t="inlineStr">
        <is>
          <t>2023</t>
        </is>
      </c>
      <c r="E248" s="7" t="n">
        <v>21</v>
      </c>
      <c r="F248" s="8" t="n">
        <v>45583</v>
      </c>
      <c r="G248" s="7" t="inlineStr">
        <is>
          <t>DANIEL EDUARDO SOTO BERNAL</t>
        </is>
      </c>
      <c r="H248" s="14" t="n">
        <v>2</v>
      </c>
      <c r="I248" s="15">
        <f>IF(H248="","",H248/2)</f>
        <v/>
      </c>
      <c r="J248" s="7">
        <f>IF(H248="",0,IF(SUMPRODUCT((Seguimientos!$A$2:$A$1013=A248)*(Seguimientos!$F$2:$F$1013=F248)*(Seguimientos!$B$2:$B$1013&gt;B248)*(Seguimientos!$H$2:$H$1013&lt;&gt;""))=0,1,0))</f>
        <v/>
      </c>
      <c r="K248" s="7">
        <f>A248&amp;"|"&amp;B248</f>
        <v/>
      </c>
      <c r="L248" s="13" t="inlineStr">
        <is>
          <t>ACTIVIDAD COMPLETADA</t>
        </is>
      </c>
    </row>
    <row r="249">
      <c r="A249" s="7" t="inlineStr">
        <is>
          <t>sgc-2023-21</t>
        </is>
      </c>
      <c r="B249" s="7" t="n">
        <v>4</v>
      </c>
      <c r="C249" s="7" t="inlineStr">
        <is>
          <t>SGC</t>
        </is>
      </c>
      <c r="D249" s="7" t="inlineStr">
        <is>
          <t>2023</t>
        </is>
      </c>
      <c r="E249" s="7" t="n">
        <v>21</v>
      </c>
      <c r="F249" s="8" t="n">
        <v>45777</v>
      </c>
      <c r="G249" s="7" t="inlineStr">
        <is>
          <t>DANIEL EDUARDO SOTO BERNAL</t>
        </is>
      </c>
      <c r="H249" s="14" t="n">
        <v>2</v>
      </c>
      <c r="I249" s="15">
        <f>IF(H249="","",H249/2)</f>
        <v/>
      </c>
      <c r="J249" s="7">
        <f>IF(H249="",0,IF(SUMPRODUCT((Seguimientos!$A$2:$A$1013=A249)*(Seguimientos!$F$2:$F$1013=F249)*(Seguimientos!$B$2:$B$1013&gt;B249)*(Seguimientos!$H$2:$H$1013&lt;&gt;""))=0,1,0))</f>
        <v/>
      </c>
      <c r="K249" s="7">
        <f>A249&amp;"|"&amp;B249</f>
        <v/>
      </c>
      <c r="L249" s="13" t="inlineStr">
        <is>
          <t>ACTIVIDAD COMPLETADA</t>
        </is>
      </c>
    </row>
    <row r="250">
      <c r="A250" s="7" t="inlineStr">
        <is>
          <t>sgc-2023-21</t>
        </is>
      </c>
      <c r="B250" s="7" t="n">
        <v>5</v>
      </c>
      <c r="C250" s="7" t="inlineStr">
        <is>
          <t>SGC</t>
        </is>
      </c>
      <c r="D250" s="7" t="inlineStr">
        <is>
          <t>2023</t>
        </is>
      </c>
      <c r="E250" s="7" t="n">
        <v>21</v>
      </c>
      <c r="F250" s="8" t="n">
        <v>45838</v>
      </c>
      <c r="G250" s="7" t="inlineStr">
        <is>
          <t>DANIEL EDUARDO SOTO BERNAL</t>
        </is>
      </c>
      <c r="H250" s="14" t="n">
        <v>2</v>
      </c>
      <c r="I250" s="15">
        <f>IF(H250="","",H250/2)</f>
        <v/>
      </c>
      <c r="J250" s="7">
        <f>IF(H250="",0,IF(SUMPRODUCT((Seguimientos!$A$2:$A$1013=A250)*(Seguimientos!$F$2:$F$1013=F250)*(Seguimientos!$B$2:$B$1013&gt;B250)*(Seguimientos!$H$2:$H$1013&lt;&gt;""))=0,1,0))</f>
        <v/>
      </c>
      <c r="K250" s="7">
        <f>A250&amp;"|"&amp;B250</f>
        <v/>
      </c>
      <c r="L250" s="13" t="inlineStr">
        <is>
          <t>ACTIVIDAD COMPLETADA</t>
        </is>
      </c>
    </row>
    <row r="251">
      <c r="A251" s="7" t="inlineStr">
        <is>
          <t>sgc-2023-21</t>
        </is>
      </c>
      <c r="B251" s="7" t="n">
        <v>6</v>
      </c>
      <c r="C251" s="7" t="inlineStr">
        <is>
          <t>SGC</t>
        </is>
      </c>
      <c r="D251" s="7" t="inlineStr">
        <is>
          <t>2023</t>
        </is>
      </c>
      <c r="E251" s="7" t="n">
        <v>21</v>
      </c>
      <c r="F251" s="8" t="n">
        <v>45930</v>
      </c>
      <c r="G251" s="7" t="inlineStr">
        <is>
          <t>JOAN IMAYINNE GALVIS MORENO</t>
        </is>
      </c>
      <c r="H251" s="14" t="n">
        <v>2</v>
      </c>
      <c r="I251" s="15">
        <f>IF(H251="","",H251/2)</f>
        <v/>
      </c>
      <c r="J251" s="7">
        <f>IF(H251="",0,IF(SUMPRODUCT((Seguimientos!$A$2:$A$1013=A251)*(Seguimientos!$F$2:$F$1013=F251)*(Seguimientos!$B$2:$B$1013&gt;B251)*(Seguimientos!$H$2:$H$1013&lt;&gt;""))=0,1,0))</f>
        <v/>
      </c>
      <c r="K251" s="7">
        <f>A251&amp;"|"&amp;B251</f>
        <v/>
      </c>
      <c r="L251" s="13" t="inlineStr">
        <is>
          <t>ACTIVIDAD COMPLETADA</t>
        </is>
      </c>
    </row>
    <row r="252">
      <c r="A252" s="7" t="inlineStr">
        <is>
          <t>sgc-2023-21</t>
        </is>
      </c>
      <c r="B252" s="7" t="n">
        <v>7</v>
      </c>
      <c r="C252" s="7" t="inlineStr">
        <is>
          <t>SGC</t>
        </is>
      </c>
      <c r="D252" s="7" t="inlineStr">
        <is>
          <t>2023</t>
        </is>
      </c>
      <c r="E252" s="7" t="n">
        <v>21</v>
      </c>
      <c r="F252" s="8" t="n">
        <v>46021</v>
      </c>
      <c r="G252" s="7" t="inlineStr">
        <is>
          <t>JOAN IMAYINNE GALVIS MORENO</t>
        </is>
      </c>
      <c r="H252" s="14" t="n">
        <v>2</v>
      </c>
      <c r="I252" s="15">
        <f>IF(H252="","",H252/2)</f>
        <v/>
      </c>
      <c r="J252" s="7">
        <f>IF(H252="",0,IF(SUMPRODUCT((Seguimientos!$A$2:$A$1013=A252)*(Seguimientos!$F$2:$F$1013=F252)*(Seguimientos!$B$2:$B$1013&gt;B252)*(Seguimientos!$H$2:$H$1013&lt;&gt;""))=0,1,0))</f>
        <v/>
      </c>
      <c r="K252" s="7">
        <f>A252&amp;"|"&amp;B252</f>
        <v/>
      </c>
      <c r="L252" s="13" t="inlineStr">
        <is>
          <t>ACTIVIDAD COMPLETADA</t>
        </is>
      </c>
    </row>
    <row r="253">
      <c r="A253" s="7" t="inlineStr">
        <is>
          <t>sgc-2023-21</t>
        </is>
      </c>
      <c r="B253" s="7" t="n">
        <v>8</v>
      </c>
      <c r="C253" s="7" t="inlineStr">
        <is>
          <t>SGC</t>
        </is>
      </c>
      <c r="D253" s="7" t="inlineStr">
        <is>
          <t>2023</t>
        </is>
      </c>
      <c r="E253" s="7" t="n">
        <v>21</v>
      </c>
      <c r="F253" s="8" t="n">
        <v>46142</v>
      </c>
      <c r="G253" s="7" t="inlineStr">
        <is>
          <t>JOAN IMAYINNE GALVIS MORENO</t>
        </is>
      </c>
      <c r="H253" s="14" t="n">
        <v>2</v>
      </c>
      <c r="I253" s="15">
        <f>IF(H253="","",H253/2)</f>
        <v/>
      </c>
      <c r="J253" s="7">
        <f>IF(H253="",0,IF(SUMPRODUCT((Seguimientos!$A$2:$A$1013=A253)*(Seguimientos!$F$2:$F$1013=F253)*(Seguimientos!$B$2:$B$1013&gt;B253)*(Seguimientos!$H$2:$H$1013&lt;&gt;""))=0,1,0))</f>
        <v/>
      </c>
      <c r="K253" s="7">
        <f>A253&amp;"|"&amp;B253</f>
        <v/>
      </c>
      <c r="L253" s="13" t="inlineStr">
        <is>
          <t>ACTIVIDAD COMPLETADA</t>
        </is>
      </c>
    </row>
    <row r="254">
      <c r="A254" s="7" t="inlineStr">
        <is>
          <t>sgc-2023-21</t>
        </is>
      </c>
      <c r="B254" s="7" t="n">
        <v>9</v>
      </c>
      <c r="C254" s="7" t="inlineStr">
        <is>
          <t>SGC</t>
        </is>
      </c>
      <c r="D254" s="7" t="inlineStr">
        <is>
          <t>2023</t>
        </is>
      </c>
      <c r="E254" s="7" t="n">
        <v>21</v>
      </c>
      <c r="F254" s="8" t="n">
        <v>46203</v>
      </c>
      <c r="G254" s="7" t="inlineStr">
        <is>
          <t>JOAN IMAYINNE GALVIS MORENO</t>
        </is>
      </c>
      <c r="H254" s="14" t="n">
        <v>2</v>
      </c>
      <c r="I254" s="15">
        <f>IF(H254="","",H254/2)</f>
        <v/>
      </c>
      <c r="J254" s="7">
        <f>IF(H254="",0,IF(SUMPRODUCT((Seguimientos!$A$2:$A$1013=A254)*(Seguimientos!$F$2:$F$1013=F254)*(Seguimientos!$B$2:$B$1013&gt;B254)*(Seguimientos!$H$2:$H$1013&lt;&gt;""))=0,1,0))</f>
        <v/>
      </c>
      <c r="K254" s="7">
        <f>A254&amp;"|"&amp;B254</f>
        <v/>
      </c>
      <c r="L254" s="13" t="inlineStr">
        <is>
          <t>ACTIVIDAD COMPLETADA</t>
        </is>
      </c>
    </row>
    <row r="255">
      <c r="A255" s="7" t="inlineStr">
        <is>
          <t>sgc-2023-22</t>
        </is>
      </c>
      <c r="B255" s="7" t="n">
        <v>1</v>
      </c>
      <c r="C255" s="7" t="inlineStr">
        <is>
          <t>SGC</t>
        </is>
      </c>
      <c r="D255" s="7" t="inlineStr">
        <is>
          <t>2023</t>
        </is>
      </c>
      <c r="E255" s="7" t="n">
        <v>22</v>
      </c>
      <c r="F255" s="8" t="n">
        <v>45405</v>
      </c>
      <c r="G255" s="7" t="inlineStr">
        <is>
          <t>DANIEL EDUARDO SOTO BERNAL</t>
        </is>
      </c>
      <c r="H255" s="14" t="n">
        <v>0</v>
      </c>
      <c r="I255" s="15">
        <f>IF(H255="","",H255/2)</f>
        <v/>
      </c>
      <c r="J255" s="7">
        <f>IF(H255="",0,IF(SUMPRODUCT((Seguimientos!$A$2:$A$1013=A255)*(Seguimientos!$F$2:$F$1013=F255)*(Seguimientos!$B$2:$B$1013&gt;B255)*(Seguimientos!$H$2:$H$1013&lt;&gt;""))=0,1,0))</f>
        <v/>
      </c>
      <c r="K255" s="7">
        <f>A255&amp;"|"&amp;B255</f>
        <v/>
      </c>
      <c r="L255" s="13" t="inlineStr">
        <is>
          <t>Ver gestión del cambio, no se tiene avance de esta actividad ya que GESTIÓN DEL CAMBIO ESGP07 VERSIÓN: 7 VIGENCIA: 2023-06-07 presenta su ultima actualización en junio del 2023, la Resolución 088 es del mes de agosto de la vigencia 2023.</t>
        </is>
      </c>
    </row>
    <row r="256">
      <c r="A256" s="7" t="inlineStr">
        <is>
          <t>sgc-2023-22</t>
        </is>
      </c>
      <c r="B256" s="7" t="n">
        <v>2</v>
      </c>
      <c r="C256" s="7" t="inlineStr">
        <is>
          <t>SGC</t>
        </is>
      </c>
      <c r="D256" s="7" t="inlineStr">
        <is>
          <t>2023</t>
        </is>
      </c>
      <c r="E256" s="7" t="n">
        <v>22</v>
      </c>
      <c r="F256" s="8" t="n">
        <v>45497</v>
      </c>
      <c r="G256" s="7" t="inlineStr">
        <is>
          <t>DANIEL EDUARDO SOTO BERNAL</t>
        </is>
      </c>
      <c r="H256" s="14" t="n">
        <v>1</v>
      </c>
      <c r="I256" s="15">
        <f>IF(H256="","",H256/2)</f>
        <v/>
      </c>
      <c r="J256" s="7">
        <f>IF(H256="",0,IF(SUMPRODUCT((Seguimientos!$A$2:$A$1013=A256)*(Seguimientos!$F$2:$F$1013=F256)*(Seguimientos!$B$2:$B$1013&gt;B256)*(Seguimientos!$H$2:$H$1013&lt;&gt;""))=0,1,0))</f>
        <v/>
      </c>
      <c r="K256" s="7">
        <f>A256&amp;"|"&amp;B256</f>
        <v/>
      </c>
      <c r="L256" s="13" t="inlineStr">
        <is>
          <t>Obedeciendo la implementación de la Resolución:088 actualmente los sistemas de gestión estructura y hacen seguimiento a los planes de mejora, evidencia: Pantallazo de PM por los SG</t>
        </is>
      </c>
    </row>
    <row r="257">
      <c r="A257" s="7" t="inlineStr">
        <is>
          <t>sgc-2023-22</t>
        </is>
      </c>
      <c r="B257" s="7" t="n">
        <v>3</v>
      </c>
      <c r="C257" s="7" t="inlineStr">
        <is>
          <t>SGC</t>
        </is>
      </c>
      <c r="D257" s="7" t="inlineStr">
        <is>
          <t>2023</t>
        </is>
      </c>
      <c r="E257" s="7" t="n">
        <v>22</v>
      </c>
      <c r="F257" s="8" t="n">
        <v>45583</v>
      </c>
      <c r="G257" s="7" t="inlineStr">
        <is>
          <t>DANIEL EDUARDO SOTO BERNAL</t>
        </is>
      </c>
      <c r="H257" s="14" t="n">
        <v>1</v>
      </c>
      <c r="I257" s="15">
        <f>IF(H257="","",H257/2)</f>
        <v/>
      </c>
      <c r="J257" s="7">
        <f>IF(H257="",0,IF(SUMPRODUCT((Seguimientos!$A$2:$A$1013=A257)*(Seguimientos!$F$2:$F$1013=F257)*(Seguimientos!$B$2:$B$1013&gt;B257)*(Seguimientos!$H$2:$H$1013&lt;&gt;""))=0,1,0))</f>
        <v/>
      </c>
      <c r="K257" s="7">
        <f>A257&amp;"|"&amp;B257</f>
        <v/>
      </c>
      <c r="L257" s="13" t="inlineStr">
        <is>
          <t>Articulado con el sistema de Gestión de la Calidad, para este corte no se cuenta con Matriz de gestión del cambio.</t>
        </is>
      </c>
    </row>
    <row r="258">
      <c r="A258" s="7" t="inlineStr">
        <is>
          <t>sgc-2023-22</t>
        </is>
      </c>
      <c r="B258" s="7" t="n">
        <v>4</v>
      </c>
      <c r="C258" s="7" t="inlineStr">
        <is>
          <t>SGC</t>
        </is>
      </c>
      <c r="D258" s="7" t="inlineStr">
        <is>
          <t>2023</t>
        </is>
      </c>
      <c r="E258" s="7" t="n">
        <v>22</v>
      </c>
      <c r="F258" s="8" t="n">
        <v>45777</v>
      </c>
      <c r="G258" s="7" t="inlineStr">
        <is>
          <t>DANIEL EDUARDO SOTO BERNAL</t>
        </is>
      </c>
      <c r="H258" s="14" t="n">
        <v>1</v>
      </c>
      <c r="I258" s="15">
        <f>IF(H258="","",H258/2)</f>
        <v/>
      </c>
      <c r="J258" s="7">
        <f>IF(H258="",0,IF(SUMPRODUCT((Seguimientos!$A$2:$A$1013=A258)*(Seguimientos!$F$2:$F$1013=F258)*(Seguimientos!$B$2:$B$1013&gt;B258)*(Seguimientos!$H$2:$H$1013&lt;&gt;""))=0,1,0))</f>
        <v/>
      </c>
      <c r="K258" s="7">
        <f>A258&amp;"|"&amp;B258</f>
        <v/>
      </c>
      <c r="L258" s="13" t="inlineStr">
        <is>
          <t>No se tienen avances.</t>
        </is>
      </c>
    </row>
    <row r="259">
      <c r="A259" s="7" t="inlineStr">
        <is>
          <t>sgc-2023-22</t>
        </is>
      </c>
      <c r="B259" s="7" t="n">
        <v>5</v>
      </c>
      <c r="C259" s="7" t="inlineStr">
        <is>
          <t>SGC</t>
        </is>
      </c>
      <c r="D259" s="7" t="inlineStr">
        <is>
          <t>2023</t>
        </is>
      </c>
      <c r="E259" s="7" t="n">
        <v>22</v>
      </c>
      <c r="F259" s="8" t="n">
        <v>45838</v>
      </c>
      <c r="G259" s="7" t="inlineStr">
        <is>
          <t>DANIEL EDUARDO SOTO BERNAL</t>
        </is>
      </c>
      <c r="H259" s="14" t="n">
        <v>1.5</v>
      </c>
      <c r="I259" s="15">
        <f>IF(H259="","",H259/2)</f>
        <v/>
      </c>
      <c r="J259" s="7">
        <f>IF(H259="",0,IF(SUMPRODUCT((Seguimientos!$A$2:$A$1013=A259)*(Seguimientos!$F$2:$F$1013=F259)*(Seguimientos!$B$2:$B$1013&gt;B259)*(Seguimientos!$H$2:$H$1013&lt;&gt;""))=0,1,0))</f>
        <v/>
      </c>
      <c r="K259" s="7">
        <f>A259&amp;"|"&amp;B259</f>
        <v/>
      </c>
      <c r="L259" s="13" t="inlineStr">
        <is>
          <t>Se realiza seguimiento desde la Dirección de Control Interno al Sistema de Gestión de Calidad ESGC de las matrices de gestión del Cambio, en proceso de seguimiento por parte de los sistemas de la universidad de Cundinamarca. Actividad en curso.</t>
        </is>
      </c>
    </row>
    <row r="260">
      <c r="A260" s="7" t="inlineStr">
        <is>
          <t>sgc-2023-22</t>
        </is>
      </c>
      <c r="B260" s="7" t="n">
        <v>6</v>
      </c>
      <c r="C260" s="7" t="inlineStr">
        <is>
          <t>SGC</t>
        </is>
      </c>
      <c r="D260" s="7" t="inlineStr">
        <is>
          <t>2023</t>
        </is>
      </c>
      <c r="E260" s="7" t="n">
        <v>22</v>
      </c>
      <c r="F260" s="8" t="n">
        <v>45930</v>
      </c>
      <c r="G260" s="7" t="inlineStr">
        <is>
          <t>JOAN IMAYINNE GALVIS MORENO</t>
        </is>
      </c>
      <c r="H260" s="14" t="n">
        <v>1.5</v>
      </c>
      <c r="I260" s="15">
        <f>IF(H260="","",H260/2)</f>
        <v/>
      </c>
      <c r="J260" s="7">
        <f>IF(H260="",0,IF(SUMPRODUCT((Seguimientos!$A$2:$A$1013=A260)*(Seguimientos!$F$2:$F$1013=F260)*(Seguimientos!$B$2:$B$1013&gt;B260)*(Seguimientos!$H$2:$H$1013&lt;&gt;""))=0,1,0))</f>
        <v/>
      </c>
      <c r="K260" s="7">
        <f>A260&amp;"|"&amp;B260</f>
        <v/>
      </c>
      <c r="L260" s="13" t="inlineStr">
        <is>
          <t>Actividad pendiente por cumplir, No soportan evidencia.</t>
        </is>
      </c>
    </row>
    <row r="261">
      <c r="A261" s="7" t="inlineStr">
        <is>
          <t>sgc-2023-22</t>
        </is>
      </c>
      <c r="B261" s="7" t="n">
        <v>7</v>
      </c>
      <c r="C261" s="7" t="inlineStr">
        <is>
          <t>SGC</t>
        </is>
      </c>
      <c r="D261" s="7" t="inlineStr">
        <is>
          <t>2023</t>
        </is>
      </c>
      <c r="E261" s="7" t="n">
        <v>22</v>
      </c>
      <c r="F261" s="8" t="n">
        <v>46021</v>
      </c>
      <c r="G261" s="7" t="inlineStr">
        <is>
          <t>JOAN IMAYINNE GALVIS MORENO</t>
        </is>
      </c>
      <c r="H261" s="14" t="n">
        <v>1.5</v>
      </c>
      <c r="I261" s="15">
        <f>IF(H261="","",H261/2)</f>
        <v/>
      </c>
      <c r="J261" s="7">
        <f>IF(H261="",0,IF(SUMPRODUCT((Seguimientos!$A$2:$A$1013=A261)*(Seguimientos!$F$2:$F$1013=F261)*(Seguimientos!$B$2:$B$1013&gt;B261)*(Seguimientos!$H$2:$H$1013&lt;&gt;""))=0,1,0))</f>
        <v/>
      </c>
      <c r="K261" s="7">
        <f>A261&amp;"|"&amp;B261</f>
        <v/>
      </c>
      <c r="L261" s="13" t="inlineStr">
        <is>
          <t>Actividad pendiente por cumplir, No soportan evidencia.</t>
        </is>
      </c>
    </row>
    <row r="262">
      <c r="A262" s="7" t="inlineStr">
        <is>
          <t>sgc-2023-22</t>
        </is>
      </c>
      <c r="B262" s="7" t="n">
        <v>8</v>
      </c>
      <c r="C262" s="7" t="inlineStr">
        <is>
          <t>SGC</t>
        </is>
      </c>
      <c r="D262" s="7" t="inlineStr">
        <is>
          <t>2023</t>
        </is>
      </c>
      <c r="E262" s="7" t="n">
        <v>22</v>
      </c>
      <c r="F262" s="8" t="n">
        <v>46142</v>
      </c>
      <c r="G262" s="7" t="inlineStr">
        <is>
          <t>JOAN IMAYINNE GALVIS MORENO</t>
        </is>
      </c>
      <c r="H262" s="14" t="n">
        <v>1.5</v>
      </c>
      <c r="I262" s="15">
        <f>IF(H262="","",H262/2)</f>
        <v/>
      </c>
      <c r="J262" s="7">
        <f>IF(H262="",0,IF(SUMPRODUCT((Seguimientos!$A$2:$A$1013=A262)*(Seguimientos!$F$2:$F$1013=F262)*(Seguimientos!$B$2:$B$1013&gt;B262)*(Seguimientos!$H$2:$H$1013&lt;&gt;""))=0,1,0))</f>
        <v/>
      </c>
      <c r="K262" s="7">
        <f>A262&amp;"|"&amp;B262</f>
        <v/>
      </c>
      <c r="L262" s="13" t="inlineStr">
        <is>
          <t>Se adelanta el proceso de modificación de la Resolución 088, en el cual ya se realizaron los cambios pertinentes, encontrándose actualmente en la Dirección de Planeación para su respectiva revisión y trámite de aprobación.</t>
        </is>
      </c>
    </row>
    <row r="263">
      <c r="A263" s="7" t="inlineStr">
        <is>
          <t>sgc-2023-22</t>
        </is>
      </c>
      <c r="B263" s="7" t="n">
        <v>9</v>
      </c>
      <c r="C263" s="7" t="inlineStr">
        <is>
          <t>SGC</t>
        </is>
      </c>
      <c r="D263" s="7" t="inlineStr">
        <is>
          <t>2023</t>
        </is>
      </c>
      <c r="E263" s="7" t="n">
        <v>22</v>
      </c>
      <c r="F263" s="8" t="n">
        <v>46203</v>
      </c>
      <c r="G263" s="7" t="inlineStr">
        <is>
          <t>JOAN IMAYINNE GALVIS MORENO</t>
        </is>
      </c>
      <c r="H263" s="14" t="n">
        <v>1.5</v>
      </c>
      <c r="I263" s="15">
        <f>IF(H263="","",H263/2)</f>
        <v/>
      </c>
      <c r="J263" s="7">
        <f>IF(H263="",0,IF(SUMPRODUCT((Seguimientos!$A$2:$A$1013=A263)*(Seguimientos!$F$2:$F$1013=F263)*(Seguimientos!$B$2:$B$1013&gt;B263)*(Seguimientos!$H$2:$H$1013&lt;&gt;""))=0,1,0))</f>
        <v/>
      </c>
      <c r="K263" s="7">
        <f>A263&amp;"|"&amp;B263</f>
        <v/>
      </c>
      <c r="L263" s="13" t="inlineStr"/>
    </row>
    <row r="264">
      <c r="A264" s="7" t="inlineStr">
        <is>
          <t>sgc-2023-23</t>
        </is>
      </c>
      <c r="B264" s="7" t="n">
        <v>1</v>
      </c>
      <c r="C264" s="7" t="inlineStr">
        <is>
          <t>SGC</t>
        </is>
      </c>
      <c r="D264" s="7" t="inlineStr">
        <is>
          <t>2023</t>
        </is>
      </c>
      <c r="E264" s="7" t="n">
        <v>23</v>
      </c>
      <c r="F264" s="8" t="n">
        <v>45405</v>
      </c>
      <c r="G264" s="7" t="inlineStr">
        <is>
          <t>DANIEL EDUARDO SOTO BERNAL</t>
        </is>
      </c>
      <c r="H264" s="14" t="n">
        <v>0</v>
      </c>
      <c r="I264" s="15">
        <f>IF(H264="","",H264/2)</f>
        <v/>
      </c>
      <c r="J264" s="7">
        <f>IF(H264="",0,IF(SUMPRODUCT((Seguimientos!$A$2:$A$1013=A264)*(Seguimientos!$F$2:$F$1013=F264)*(Seguimientos!$B$2:$B$1013&gt;B264)*(Seguimientos!$H$2:$H$1013&lt;&gt;""))=0,1,0))</f>
        <v/>
      </c>
      <c r="K264" s="7">
        <f>A264&amp;"|"&amp;B264</f>
        <v/>
      </c>
      <c r="L264" s="13" t="inlineStr">
        <is>
          <t>Actividad pendiente por cumplir, No soportan evidencia.</t>
        </is>
      </c>
    </row>
    <row r="265">
      <c r="A265" s="7" t="inlineStr">
        <is>
          <t>sgc-2023-23</t>
        </is>
      </c>
      <c r="B265" s="7" t="n">
        <v>2</v>
      </c>
      <c r="C265" s="7" t="inlineStr">
        <is>
          <t>SGC</t>
        </is>
      </c>
      <c r="D265" s="7" t="inlineStr">
        <is>
          <t>2023</t>
        </is>
      </c>
      <c r="E265" s="7" t="n">
        <v>23</v>
      </c>
      <c r="F265" s="8" t="n">
        <v>45497</v>
      </c>
      <c r="G265" s="7" t="inlineStr">
        <is>
          <t>DANIEL EDUARDO SOTO BERNAL</t>
        </is>
      </c>
      <c r="H265" s="14" t="n">
        <v>1</v>
      </c>
      <c r="I265" s="15">
        <f>IF(H265="","",H265/2)</f>
        <v/>
      </c>
      <c r="J265" s="7">
        <f>IF(H265="",0,IF(SUMPRODUCT((Seguimientos!$A$2:$A$1013=A265)*(Seguimientos!$F$2:$F$1013=F265)*(Seguimientos!$B$2:$B$1013&gt;B265)*(Seguimientos!$H$2:$H$1013&lt;&gt;""))=0,1,0))</f>
        <v/>
      </c>
      <c r="K265" s="7">
        <f>A265&amp;"|"&amp;B265</f>
        <v/>
      </c>
      <c r="L265" s="13" t="inlineStr">
        <is>
          <t>La Dirección de Talento Humano, allega solicitud de correo electrónico para incluir en cada uno de los planes de acción, un ítems relacionado con el cierre de los planes de mejoramiento, y CONCERTACIÓN Y CONTROL DE ACUERDOS DE GESTIÓN, donde esta en curso a cumplimiento.</t>
        </is>
      </c>
    </row>
    <row r="266">
      <c r="A266" s="7" t="inlineStr">
        <is>
          <t>sgc-2023-23</t>
        </is>
      </c>
      <c r="B266" s="7" t="n">
        <v>3</v>
      </c>
      <c r="C266" s="7" t="inlineStr">
        <is>
          <t>SGC</t>
        </is>
      </c>
      <c r="D266" s="7" t="inlineStr">
        <is>
          <t>2023</t>
        </is>
      </c>
      <c r="E266" s="7" t="n">
        <v>23</v>
      </c>
      <c r="F266" s="8" t="n">
        <v>45583</v>
      </c>
      <c r="G266" s="7" t="inlineStr">
        <is>
          <t>DANIEL EDUARDO SOTO BERNAL</t>
        </is>
      </c>
      <c r="H266" s="14" t="n">
        <v>1</v>
      </c>
      <c r="I266" s="15">
        <f>IF(H266="","",H266/2)</f>
        <v/>
      </c>
      <c r="J266" s="7">
        <f>IF(H266="",0,IF(SUMPRODUCT((Seguimientos!$A$2:$A$1013=A266)*(Seguimientos!$F$2:$F$1013=F266)*(Seguimientos!$B$2:$B$1013&gt;B266)*(Seguimientos!$H$2:$H$1013&lt;&gt;""))=0,1,0))</f>
        <v/>
      </c>
      <c r="K266" s="7">
        <f>A266&amp;"|"&amp;B266</f>
        <v/>
      </c>
      <c r="L266" s="13" t="inlineStr">
        <is>
          <t>Se remitió correo electrónico a la Dirección de Planeación el 26 de abril de 2024, sin embargo, no se recibió respuesta al respecto. En virtud de lo anterior, se elevó la solicitud ante el Ing. Dubán Perlaza, a fin de dar continuidad con la inclusión de la actividad en los formularios de Acuerdos de Gestión.</t>
        </is>
      </c>
    </row>
    <row r="267">
      <c r="A267" s="7" t="inlineStr">
        <is>
          <t>sgc-2023-23</t>
        </is>
      </c>
      <c r="B267" s="7" t="n">
        <v>4</v>
      </c>
      <c r="C267" s="7" t="inlineStr">
        <is>
          <t>SGC</t>
        </is>
      </c>
      <c r="D267" s="7" t="inlineStr">
        <is>
          <t>2023</t>
        </is>
      </c>
      <c r="E267" s="7" t="n">
        <v>23</v>
      </c>
      <c r="F267" s="8" t="n">
        <v>45777</v>
      </c>
      <c r="G267" s="7" t="inlineStr">
        <is>
          <t>DANIEL EDUARDO SOTO BERNAL</t>
        </is>
      </c>
      <c r="H267" s="14" t="n">
        <v>1</v>
      </c>
      <c r="I267" s="15">
        <f>IF(H267="","",H267/2)</f>
        <v/>
      </c>
      <c r="J267" s="7">
        <f>IF(H267="",0,IF(SUMPRODUCT((Seguimientos!$A$2:$A$1013=A267)*(Seguimientos!$F$2:$F$1013=F267)*(Seguimientos!$B$2:$B$1013&gt;B267)*(Seguimientos!$H$2:$H$1013&lt;&gt;""))=0,1,0))</f>
        <v/>
      </c>
      <c r="K267" s="7">
        <f>A267&amp;"|"&amp;B267</f>
        <v/>
      </c>
      <c r="L267" s="13" t="inlineStr">
        <is>
          <t>Actividad pendiente por cumplir, No soportan evidencia.</t>
        </is>
      </c>
    </row>
    <row r="268">
      <c r="A268" s="7" t="inlineStr">
        <is>
          <t>sgc-2023-23</t>
        </is>
      </c>
      <c r="B268" s="7" t="n">
        <v>5</v>
      </c>
      <c r="C268" s="7" t="inlineStr">
        <is>
          <t>SGC</t>
        </is>
      </c>
      <c r="D268" s="7" t="inlineStr">
        <is>
          <t>2023</t>
        </is>
      </c>
      <c r="E268" s="7" t="n">
        <v>23</v>
      </c>
      <c r="F268" s="8" t="n">
        <v>45838</v>
      </c>
      <c r="G268" s="7" t="inlineStr">
        <is>
          <t>DANIEL EDUARDO SOTO BERNAL</t>
        </is>
      </c>
      <c r="H268" s="14" t="n">
        <v>1</v>
      </c>
      <c r="I268" s="15">
        <f>IF(H268="","",H268/2)</f>
        <v/>
      </c>
      <c r="J268" s="7">
        <f>IF(H268="",0,IF(SUMPRODUCT((Seguimientos!$A$2:$A$1013=A268)*(Seguimientos!$F$2:$F$1013=F268)*(Seguimientos!$B$2:$B$1013&gt;B268)*(Seguimientos!$H$2:$H$1013&lt;&gt;""))=0,1,0))</f>
        <v/>
      </c>
      <c r="K268" s="7">
        <f>A268&amp;"|"&amp;B268</f>
        <v/>
      </c>
      <c r="L268" s="13" t="inlineStr">
        <is>
          <t>Actividad pendiente por cumplir, No soportan evidencia.</t>
        </is>
      </c>
    </row>
    <row r="269">
      <c r="A269" s="7" t="inlineStr">
        <is>
          <t>sgc-2023-23</t>
        </is>
      </c>
      <c r="B269" s="7" t="n">
        <v>6</v>
      </c>
      <c r="C269" s="7" t="inlineStr">
        <is>
          <t>SGC</t>
        </is>
      </c>
      <c r="D269" s="7" t="inlineStr">
        <is>
          <t>2023</t>
        </is>
      </c>
      <c r="E269" s="7" t="n">
        <v>23</v>
      </c>
      <c r="F269" s="8" t="n">
        <v>45930</v>
      </c>
      <c r="G269" s="7" t="inlineStr">
        <is>
          <t>JOAN IMAYINNE GALVIS MORENO</t>
        </is>
      </c>
      <c r="H269" s="14" t="n">
        <v>1</v>
      </c>
      <c r="I269" s="15">
        <f>IF(H269="","",H269/2)</f>
        <v/>
      </c>
      <c r="J269" s="7">
        <f>IF(H269="",0,IF(SUMPRODUCT((Seguimientos!$A$2:$A$1013=A269)*(Seguimientos!$F$2:$F$1013=F269)*(Seguimientos!$B$2:$B$1013&gt;B269)*(Seguimientos!$H$2:$H$1013&lt;&gt;""))=0,1,0))</f>
        <v/>
      </c>
      <c r="K269" s="7">
        <f>A269&amp;"|"&amp;B269</f>
        <v/>
      </c>
      <c r="L269" s="13" t="inlineStr">
        <is>
          <t>Actividad pendiente por cumplir, No soportan evidencia.</t>
        </is>
      </c>
    </row>
    <row r="270">
      <c r="A270" s="7" t="inlineStr">
        <is>
          <t>sgc-2023-23</t>
        </is>
      </c>
      <c r="B270" s="7" t="n">
        <v>7</v>
      </c>
      <c r="C270" s="7" t="inlineStr">
        <is>
          <t>SGC</t>
        </is>
      </c>
      <c r="D270" s="7" t="inlineStr">
        <is>
          <t>2023</t>
        </is>
      </c>
      <c r="E270" s="7" t="n">
        <v>23</v>
      </c>
      <c r="F270" s="8" t="n">
        <v>46021</v>
      </c>
      <c r="G270" s="7" t="inlineStr">
        <is>
          <t>JOAN IMAYINNE GALVIS MORENO</t>
        </is>
      </c>
      <c r="H270" s="14" t="n">
        <v>1</v>
      </c>
      <c r="I270" s="15">
        <f>IF(H270="","",H270/2)</f>
        <v/>
      </c>
      <c r="J270" s="7">
        <f>IF(H270="",0,IF(SUMPRODUCT((Seguimientos!$A$2:$A$1013=A270)*(Seguimientos!$F$2:$F$1013=F270)*(Seguimientos!$B$2:$B$1013&gt;B270)*(Seguimientos!$H$2:$H$1013&lt;&gt;""))=0,1,0))</f>
        <v/>
      </c>
      <c r="K270" s="7">
        <f>A270&amp;"|"&amp;B270</f>
        <v/>
      </c>
      <c r="L270" s="13" t="inlineStr">
        <is>
          <t>Actividad pendiente por cumplir, No soportan evidencia.</t>
        </is>
      </c>
    </row>
    <row r="271">
      <c r="A271" s="7" t="inlineStr">
        <is>
          <t>sgc-2023-23</t>
        </is>
      </c>
      <c r="B271" s="7" t="n">
        <v>8</v>
      </c>
      <c r="C271" s="7" t="inlineStr">
        <is>
          <t>SGC</t>
        </is>
      </c>
      <c r="D271" s="7" t="inlineStr">
        <is>
          <t>2023</t>
        </is>
      </c>
      <c r="E271" s="7" t="n">
        <v>23</v>
      </c>
      <c r="F271" s="8" t="n">
        <v>46142</v>
      </c>
      <c r="G271" s="7" t="inlineStr">
        <is>
          <t>JOAN IMAYINNE GALVIS MORENO</t>
        </is>
      </c>
      <c r="H271" s="14" t="n">
        <v>1</v>
      </c>
      <c r="I271" s="15">
        <f>IF(H271="","",H271/2)</f>
        <v/>
      </c>
      <c r="J271" s="7">
        <f>IF(H271="",0,IF(SUMPRODUCT((Seguimientos!$A$2:$A$1013=A271)*(Seguimientos!$F$2:$F$1013=F271)*(Seguimientos!$B$2:$B$1013&gt;B271)*(Seguimientos!$H$2:$H$1013&lt;&gt;""))=0,1,0))</f>
        <v/>
      </c>
      <c r="K271" s="7">
        <f>A271&amp;"|"&amp;B271</f>
        <v/>
      </c>
      <c r="L271" s="13" t="inlineStr"/>
    </row>
    <row r="272">
      <c r="A272" s="7" t="inlineStr">
        <is>
          <t>sgc-2023-23</t>
        </is>
      </c>
      <c r="B272" s="7" t="n">
        <v>9</v>
      </c>
      <c r="C272" s="7" t="inlineStr">
        <is>
          <t>SGC</t>
        </is>
      </c>
      <c r="D272" s="7" t="inlineStr">
        <is>
          <t>2023</t>
        </is>
      </c>
      <c r="E272" s="7" t="n">
        <v>23</v>
      </c>
      <c r="F272" s="8" t="n">
        <v>46203</v>
      </c>
      <c r="G272" s="7" t="inlineStr">
        <is>
          <t>JOAN IMAYINNE GALVIS MORENO</t>
        </is>
      </c>
      <c r="H272" s="14" t="n">
        <v>1</v>
      </c>
      <c r="I272" s="15">
        <f>IF(H272="","",H272/2)</f>
        <v/>
      </c>
      <c r="J272" s="7">
        <f>IF(H272="",0,IF(SUMPRODUCT((Seguimientos!$A$2:$A$1013=A272)*(Seguimientos!$F$2:$F$1013=F272)*(Seguimientos!$B$2:$B$1013&gt;B272)*(Seguimientos!$H$2:$H$1013&lt;&gt;""))=0,1,0))</f>
        <v/>
      </c>
      <c r="K272" s="7">
        <f>A272&amp;"|"&amp;B272</f>
        <v/>
      </c>
      <c r="L272" s="13" t="inlineStr"/>
    </row>
    <row r="273">
      <c r="A273" s="7" t="inlineStr">
        <is>
          <t>sgc-2023-24</t>
        </is>
      </c>
      <c r="B273" s="7" t="n">
        <v>1</v>
      </c>
      <c r="C273" s="7" t="inlineStr">
        <is>
          <t>SGC</t>
        </is>
      </c>
      <c r="D273" s="7" t="inlineStr">
        <is>
          <t>2023</t>
        </is>
      </c>
      <c r="E273" s="7" t="n">
        <v>24</v>
      </c>
      <c r="F273" s="8" t="n">
        <v>45405</v>
      </c>
      <c r="G273" s="7" t="inlineStr">
        <is>
          <t>DANIEL EDUARDO SOTO BERNAL</t>
        </is>
      </c>
      <c r="H273" s="14" t="n">
        <v>2</v>
      </c>
      <c r="I273" s="15">
        <f>IF(H273="","",H273/2)</f>
        <v/>
      </c>
      <c r="J273" s="7">
        <f>IF(H273="",0,IF(SUMPRODUCT((Seguimientos!$A$2:$A$1013=A273)*(Seguimientos!$F$2:$F$1013=F273)*(Seguimientos!$B$2:$B$1013&gt;B273)*(Seguimientos!$H$2:$H$1013&lt;&gt;""))=0,1,0))</f>
        <v/>
      </c>
      <c r="K273" s="7">
        <f>A273&amp;"|"&amp;B273</f>
        <v/>
      </c>
      <c r="L273" s="13" t="inlineStr">
        <is>
          <t>Para esta actividad se inicio realizando un video donde se explica los protocolos de atención telefónica a los funcionarios de la universidad, de igual manera se solicito a las direcciones de seccionales y extensiones el estado de las líneas telefónicas y a Sistemas y Tecnología se solicito la actualización de los números telefónicos con el fin de realizar video donde explica la funcionalidad del teléfono en la Sede Fusagasugá https://www.youtube.com/watch?v=q0N-YRyzAXI</t>
        </is>
      </c>
    </row>
    <row r="274">
      <c r="A274" s="7" t="inlineStr">
        <is>
          <t>sgc-2023-24</t>
        </is>
      </c>
      <c r="B274" s="7" t="n">
        <v>2</v>
      </c>
      <c r="C274" s="7" t="inlineStr">
        <is>
          <t>SGC</t>
        </is>
      </c>
      <c r="D274" s="7" t="inlineStr">
        <is>
          <t>2023</t>
        </is>
      </c>
      <c r="E274" s="7" t="n">
        <v>24</v>
      </c>
      <c r="F274" s="8" t="n">
        <v>45497</v>
      </c>
      <c r="G274" s="7" t="inlineStr">
        <is>
          <t>DANIEL EDUARDO SOTO BERNAL</t>
        </is>
      </c>
      <c r="H274" s="14" t="n">
        <v>2</v>
      </c>
      <c r="I274" s="15">
        <f>IF(H274="","",H274/2)</f>
        <v/>
      </c>
      <c r="J274" s="7">
        <f>IF(H274="",0,IF(SUMPRODUCT((Seguimientos!$A$2:$A$1013=A274)*(Seguimientos!$F$2:$F$1013=F274)*(Seguimientos!$B$2:$B$1013&gt;B274)*(Seguimientos!$H$2:$H$1013&lt;&gt;""))=0,1,0))</f>
        <v/>
      </c>
      <c r="K274" s="7">
        <f>A274&amp;"|"&amp;B274</f>
        <v/>
      </c>
      <c r="L274" s="13" t="inlineStr">
        <is>
          <t>ACTIVIDAD COMPLETADA</t>
        </is>
      </c>
    </row>
    <row r="275">
      <c r="A275" s="7" t="inlineStr">
        <is>
          <t>sgc-2023-24</t>
        </is>
      </c>
      <c r="B275" s="7" t="n">
        <v>3</v>
      </c>
      <c r="C275" s="7" t="inlineStr">
        <is>
          <t>SGC</t>
        </is>
      </c>
      <c r="D275" s="7" t="inlineStr">
        <is>
          <t>2023</t>
        </is>
      </c>
      <c r="E275" s="7" t="n">
        <v>24</v>
      </c>
      <c r="F275" s="8" t="n">
        <v>45583</v>
      </c>
      <c r="G275" s="7" t="inlineStr">
        <is>
          <t>DANIEL EDUARDO SOTO BERNAL</t>
        </is>
      </c>
      <c r="H275" s="14" t="n">
        <v>2</v>
      </c>
      <c r="I275" s="15">
        <f>IF(H275="","",H275/2)</f>
        <v/>
      </c>
      <c r="J275" s="7">
        <f>IF(H275="",0,IF(SUMPRODUCT((Seguimientos!$A$2:$A$1013=A275)*(Seguimientos!$F$2:$F$1013=F275)*(Seguimientos!$B$2:$B$1013&gt;B275)*(Seguimientos!$H$2:$H$1013&lt;&gt;""))=0,1,0))</f>
        <v/>
      </c>
      <c r="K275" s="7">
        <f>A275&amp;"|"&amp;B275</f>
        <v/>
      </c>
      <c r="L275" s="13" t="inlineStr">
        <is>
          <t>ACTIVIDAD COMPLETADA</t>
        </is>
      </c>
    </row>
    <row r="276">
      <c r="A276" s="7" t="inlineStr">
        <is>
          <t>sgc-2023-24</t>
        </is>
      </c>
      <c r="B276" s="7" t="n">
        <v>4</v>
      </c>
      <c r="C276" s="7" t="inlineStr">
        <is>
          <t>SGC</t>
        </is>
      </c>
      <c r="D276" s="7" t="inlineStr">
        <is>
          <t>2023</t>
        </is>
      </c>
      <c r="E276" s="7" t="n">
        <v>24</v>
      </c>
      <c r="F276" s="8" t="n">
        <v>45777</v>
      </c>
      <c r="G276" s="7" t="inlineStr">
        <is>
          <t>DANIEL EDUARDO SOTO BERNAL</t>
        </is>
      </c>
      <c r="H276" s="14" t="n">
        <v>2</v>
      </c>
      <c r="I276" s="15">
        <f>IF(H276="","",H276/2)</f>
        <v/>
      </c>
      <c r="J276" s="7">
        <f>IF(H276="",0,IF(SUMPRODUCT((Seguimientos!$A$2:$A$1013=A276)*(Seguimientos!$F$2:$F$1013=F276)*(Seguimientos!$B$2:$B$1013&gt;B276)*(Seguimientos!$H$2:$H$1013&lt;&gt;""))=0,1,0))</f>
        <v/>
      </c>
      <c r="K276" s="7">
        <f>A276&amp;"|"&amp;B276</f>
        <v/>
      </c>
      <c r="L276" s="13" t="inlineStr">
        <is>
          <t>ACTIVIDAD COMPLETADA</t>
        </is>
      </c>
    </row>
    <row r="277">
      <c r="A277" s="7" t="inlineStr">
        <is>
          <t>sgc-2023-24</t>
        </is>
      </c>
      <c r="B277" s="7" t="n">
        <v>5</v>
      </c>
      <c r="C277" s="7" t="inlineStr">
        <is>
          <t>SGC</t>
        </is>
      </c>
      <c r="D277" s="7" t="inlineStr">
        <is>
          <t>2023</t>
        </is>
      </c>
      <c r="E277" s="7" t="n">
        <v>24</v>
      </c>
      <c r="F277" s="8" t="n">
        <v>45838</v>
      </c>
      <c r="G277" s="7" t="inlineStr">
        <is>
          <t>DANIEL EDUARDO SOTO BERNAL</t>
        </is>
      </c>
      <c r="H277" s="14" t="n">
        <v>2</v>
      </c>
      <c r="I277" s="15">
        <f>IF(H277="","",H277/2)</f>
        <v/>
      </c>
      <c r="J277" s="7">
        <f>IF(H277="",0,IF(SUMPRODUCT((Seguimientos!$A$2:$A$1013=A277)*(Seguimientos!$F$2:$F$1013=F277)*(Seguimientos!$B$2:$B$1013&gt;B277)*(Seguimientos!$H$2:$H$1013&lt;&gt;""))=0,1,0))</f>
        <v/>
      </c>
      <c r="K277" s="7">
        <f>A277&amp;"|"&amp;B277</f>
        <v/>
      </c>
      <c r="L277" s="13" t="inlineStr">
        <is>
          <t>ACTIVIDAD COMPLETADA</t>
        </is>
      </c>
    </row>
    <row r="278">
      <c r="A278" s="7" t="inlineStr">
        <is>
          <t>sgc-2023-24</t>
        </is>
      </c>
      <c r="B278" s="7" t="n">
        <v>6</v>
      </c>
      <c r="C278" s="7" t="inlineStr">
        <is>
          <t>SGC</t>
        </is>
      </c>
      <c r="D278" s="7" t="inlineStr">
        <is>
          <t>2023</t>
        </is>
      </c>
      <c r="E278" s="7" t="n">
        <v>24</v>
      </c>
      <c r="F278" s="8" t="n">
        <v>45930</v>
      </c>
      <c r="G278" s="7" t="inlineStr">
        <is>
          <t>JOAN IMAYINNE GALVIS MORENO</t>
        </is>
      </c>
      <c r="H278" s="14" t="n">
        <v>2</v>
      </c>
      <c r="I278" s="15">
        <f>IF(H278="","",H278/2)</f>
        <v/>
      </c>
      <c r="J278" s="7">
        <f>IF(H278="",0,IF(SUMPRODUCT((Seguimientos!$A$2:$A$1013=A278)*(Seguimientos!$F$2:$F$1013=F278)*(Seguimientos!$B$2:$B$1013&gt;B278)*(Seguimientos!$H$2:$H$1013&lt;&gt;""))=0,1,0))</f>
        <v/>
      </c>
      <c r="K278" s="7">
        <f>A278&amp;"|"&amp;B278</f>
        <v/>
      </c>
      <c r="L278" s="13" t="inlineStr">
        <is>
          <t>ACTIVIDAD COMPLETADA</t>
        </is>
      </c>
    </row>
    <row r="279">
      <c r="A279" s="7" t="inlineStr">
        <is>
          <t>sgc-2023-24</t>
        </is>
      </c>
      <c r="B279" s="7" t="n">
        <v>7</v>
      </c>
      <c r="C279" s="7" t="inlineStr">
        <is>
          <t>SGC</t>
        </is>
      </c>
      <c r="D279" s="7" t="inlineStr">
        <is>
          <t>2023</t>
        </is>
      </c>
      <c r="E279" s="7" t="n">
        <v>24</v>
      </c>
      <c r="F279" s="8" t="n">
        <v>46021</v>
      </c>
      <c r="G279" s="7" t="inlineStr">
        <is>
          <t>JOAN IMAYINNE GALVIS MORENO</t>
        </is>
      </c>
      <c r="H279" s="14" t="n">
        <v>2</v>
      </c>
      <c r="I279" s="15">
        <f>IF(H279="","",H279/2)</f>
        <v/>
      </c>
      <c r="J279" s="7">
        <f>IF(H279="",0,IF(SUMPRODUCT((Seguimientos!$A$2:$A$1013=A279)*(Seguimientos!$F$2:$F$1013=F279)*(Seguimientos!$B$2:$B$1013&gt;B279)*(Seguimientos!$H$2:$H$1013&lt;&gt;""))=0,1,0))</f>
        <v/>
      </c>
      <c r="K279" s="7">
        <f>A279&amp;"|"&amp;B279</f>
        <v/>
      </c>
      <c r="L279" s="13" t="inlineStr">
        <is>
          <t>ACTIVIDAD COMPLETADA</t>
        </is>
      </c>
    </row>
    <row r="280">
      <c r="A280" s="7" t="inlineStr">
        <is>
          <t>sgc-2023-24</t>
        </is>
      </c>
      <c r="B280" s="7" t="n">
        <v>8</v>
      </c>
      <c r="C280" s="7" t="inlineStr">
        <is>
          <t>SGC</t>
        </is>
      </c>
      <c r="D280" s="7" t="inlineStr">
        <is>
          <t>2023</t>
        </is>
      </c>
      <c r="E280" s="7" t="n">
        <v>24</v>
      </c>
      <c r="F280" s="8" t="n">
        <v>46142</v>
      </c>
      <c r="G280" s="7" t="inlineStr">
        <is>
          <t>JOAN IMAYINNE GALVIS MORENO</t>
        </is>
      </c>
      <c r="H280" s="14" t="n">
        <v>2</v>
      </c>
      <c r="I280" s="15">
        <f>IF(H280="","",H280/2)</f>
        <v/>
      </c>
      <c r="J280" s="7">
        <f>IF(H280="",0,IF(SUMPRODUCT((Seguimientos!$A$2:$A$1013=A280)*(Seguimientos!$F$2:$F$1013=F280)*(Seguimientos!$B$2:$B$1013&gt;B280)*(Seguimientos!$H$2:$H$1013&lt;&gt;""))=0,1,0))</f>
        <v/>
      </c>
      <c r="K280" s="7">
        <f>A280&amp;"|"&amp;B280</f>
        <v/>
      </c>
      <c r="L280" s="13" t="inlineStr">
        <is>
          <t>ACTIVIDAD COMPLETADA</t>
        </is>
      </c>
    </row>
    <row r="281">
      <c r="A281" s="7" t="inlineStr">
        <is>
          <t>sgc-2023-24</t>
        </is>
      </c>
      <c r="B281" s="7" t="n">
        <v>9</v>
      </c>
      <c r="C281" s="7" t="inlineStr">
        <is>
          <t>SGC</t>
        </is>
      </c>
      <c r="D281" s="7" t="inlineStr">
        <is>
          <t>2023</t>
        </is>
      </c>
      <c r="E281" s="7" t="n">
        <v>24</v>
      </c>
      <c r="F281" s="8" t="n">
        <v>46203</v>
      </c>
      <c r="G281" s="7" t="inlineStr">
        <is>
          <t>JOAN IMAYINNE GALVIS MORENO</t>
        </is>
      </c>
      <c r="H281" s="14" t="n">
        <v>2</v>
      </c>
      <c r="I281" s="15">
        <f>IF(H281="","",H281/2)</f>
        <v/>
      </c>
      <c r="J281" s="7">
        <f>IF(H281="",0,IF(SUMPRODUCT((Seguimientos!$A$2:$A$1013=A281)*(Seguimientos!$F$2:$F$1013=F281)*(Seguimientos!$B$2:$B$1013&gt;B281)*(Seguimientos!$H$2:$H$1013&lt;&gt;""))=0,1,0))</f>
        <v/>
      </c>
      <c r="K281" s="7">
        <f>A281&amp;"|"&amp;B281</f>
        <v/>
      </c>
      <c r="L281" s="13" t="inlineStr">
        <is>
          <t>ACTIVIDAD COMPLETADA</t>
        </is>
      </c>
    </row>
    <row r="282">
      <c r="A282" s="7" t="inlineStr">
        <is>
          <t>sgc-2023-25</t>
        </is>
      </c>
      <c r="B282" s="7" t="n">
        <v>1</v>
      </c>
      <c r="C282" s="7" t="inlineStr">
        <is>
          <t>SGC</t>
        </is>
      </c>
      <c r="D282" s="7" t="inlineStr">
        <is>
          <t>2023</t>
        </is>
      </c>
      <c r="E282" s="7" t="n">
        <v>25</v>
      </c>
      <c r="F282" s="8" t="n">
        <v>45405</v>
      </c>
      <c r="G282" s="7" t="inlineStr">
        <is>
          <t>DANIEL EDUARDO SOTO BERNAL</t>
        </is>
      </c>
      <c r="H282" s="14" t="n">
        <v>2</v>
      </c>
      <c r="I282" s="15">
        <f>IF(H282="","",H282/2)</f>
        <v/>
      </c>
      <c r="J282" s="7">
        <f>IF(H282="",0,IF(SUMPRODUCT((Seguimientos!$A$2:$A$1013=A282)*(Seguimientos!$F$2:$F$1013=F282)*(Seguimientos!$B$2:$B$1013&gt;B282)*(Seguimientos!$H$2:$H$1013&lt;&gt;""))=0,1,0))</f>
        <v/>
      </c>
      <c r="K282" s="7">
        <f>A282&amp;"|"&amp;B282</f>
        <v/>
      </c>
      <c r="L282" s="13" t="inlineStr">
        <is>
          <t>El día 18 de agosto de la vigencia del 2023 desde la jefatura de la Oficina de Desarrollo Académico realizo la socialización ante la Comisión de Gestión del "Informe de salidas no conformes – inasistencia eventual de un docente, incumpliendo el desarrollo de los temas propuestos en el syllabus mfaf019 y acuerdo pedagógico mfaf020 en el núcleo temático correspondiente" mediante el cual se presentó el análisis frente al aumento de las Salidas no Conformes y las estrategias para el control de las mismas.</t>
        </is>
      </c>
    </row>
    <row r="283">
      <c r="A283" s="7" t="inlineStr">
        <is>
          <t>sgc-2023-25</t>
        </is>
      </c>
      <c r="B283" s="7" t="n">
        <v>2</v>
      </c>
      <c r="C283" s="7" t="inlineStr">
        <is>
          <t>SGC</t>
        </is>
      </c>
      <c r="D283" s="7" t="inlineStr">
        <is>
          <t>2023</t>
        </is>
      </c>
      <c r="E283" s="7" t="n">
        <v>25</v>
      </c>
      <c r="F283" s="8" t="n">
        <v>45497</v>
      </c>
      <c r="G283" s="7" t="inlineStr">
        <is>
          <t>DANIEL EDUARDO SOTO BERNAL</t>
        </is>
      </c>
      <c r="H283" s="14" t="n">
        <v>2</v>
      </c>
      <c r="I283" s="15">
        <f>IF(H283="","",H283/2)</f>
        <v/>
      </c>
      <c r="J283" s="7">
        <f>IF(H283="",0,IF(SUMPRODUCT((Seguimientos!$A$2:$A$1013=A283)*(Seguimientos!$F$2:$F$1013=F283)*(Seguimientos!$B$2:$B$1013&gt;B283)*(Seguimientos!$H$2:$H$1013&lt;&gt;""))=0,1,0))</f>
        <v/>
      </c>
      <c r="K283" s="7">
        <f>A283&amp;"|"&amp;B283</f>
        <v/>
      </c>
      <c r="L283" s="13" t="inlineStr">
        <is>
          <t>Teniendo en cuenta la evidencia (informe) remitida en el seguimiento del mes de marzo de 2024, se envía adjunto evidencias de cumplimiento del despliegue de las siguientes acciones: 1. Solicitud de apoyo SST para implementar un plan de capacitación y acompañamiento para la reducción de eventualidades por incapacidad médica. De conformidad, desde la Oficina de Seguridad y Salud en el Trabajo se orientaron experiencias de aprendizaje con gestores del conocimiento y el aprendizaje de los diferentes programas académicos en pro de la mejora de la salud en ámbitos como: * Capacitación manejo de voz - Estilos de vida saludable. * Capacitación inducción SG -SST. Adicional a esto, se realiza la publicación de piezas gráficas en temas como; importancia del uso de elementos de protección personal EPP, beneficios de las pausas activas en el trabajo de oficina, metodología para mejorar tu flujo de trabajo, acciones que fomentan estilos de vida saludable, entre otras. 2. Seguimiento desde la Oficina de Desarrollo Académico a los programas a fin de verificar el cumplimiento de la contratación de acuerdo con lo proyectado en su asignación docente. Se remite adjunto el seguimiento generado desde la Oficina de Desarrollo Académico a la planificación de la dedicación académica de los gestores del conocimiento y el aprendizaje de lo planeado vs lo contratado de las periodos 2023-2 y 2024-1, como estrategia de aseguramiento de la contratación oportuna de los gestores para el inicio y desarrollo del periodo académico.</t>
        </is>
      </c>
    </row>
    <row r="284">
      <c r="A284" s="7" t="inlineStr">
        <is>
          <t>sgc-2023-25</t>
        </is>
      </c>
      <c r="B284" s="7" t="n">
        <v>3</v>
      </c>
      <c r="C284" s="7" t="inlineStr">
        <is>
          <t>SGC</t>
        </is>
      </c>
      <c r="D284" s="7" t="inlineStr">
        <is>
          <t>2023</t>
        </is>
      </c>
      <c r="E284" s="7" t="n">
        <v>25</v>
      </c>
      <c r="F284" s="8" t="n">
        <v>45583</v>
      </c>
      <c r="G284" s="7" t="inlineStr">
        <is>
          <t>DANIEL EDUARDO SOTO BERNAL</t>
        </is>
      </c>
      <c r="H284" s="14" t="n">
        <v>2</v>
      </c>
      <c r="I284" s="15">
        <f>IF(H284="","",H284/2)</f>
        <v/>
      </c>
      <c r="J284" s="7">
        <f>IF(H284="",0,IF(SUMPRODUCT((Seguimientos!$A$2:$A$1013=A284)*(Seguimientos!$F$2:$F$1013=F284)*(Seguimientos!$B$2:$B$1013&gt;B284)*(Seguimientos!$H$2:$H$1013&lt;&gt;""))=0,1,0))</f>
        <v/>
      </c>
      <c r="K284" s="7">
        <f>A284&amp;"|"&amp;B284</f>
        <v/>
      </c>
      <c r="L284" s="13" t="inlineStr">
        <is>
          <t>ACTIVIDAD COMPLETADA</t>
        </is>
      </c>
    </row>
    <row r="285">
      <c r="A285" s="7" t="inlineStr">
        <is>
          <t>sgc-2023-25</t>
        </is>
      </c>
      <c r="B285" s="7" t="n">
        <v>4</v>
      </c>
      <c r="C285" s="7" t="inlineStr">
        <is>
          <t>SGC</t>
        </is>
      </c>
      <c r="D285" s="7" t="inlineStr">
        <is>
          <t>2023</t>
        </is>
      </c>
      <c r="E285" s="7" t="n">
        <v>25</v>
      </c>
      <c r="F285" s="8" t="n">
        <v>45777</v>
      </c>
      <c r="G285" s="7" t="inlineStr">
        <is>
          <t>DANIEL EDUARDO SOTO BERNAL</t>
        </is>
      </c>
      <c r="H285" s="14" t="n">
        <v>2</v>
      </c>
      <c r="I285" s="15">
        <f>IF(H285="","",H285/2)</f>
        <v/>
      </c>
      <c r="J285" s="7">
        <f>IF(H285="",0,IF(SUMPRODUCT((Seguimientos!$A$2:$A$1013=A285)*(Seguimientos!$F$2:$F$1013=F285)*(Seguimientos!$B$2:$B$1013&gt;B285)*(Seguimientos!$H$2:$H$1013&lt;&gt;""))=0,1,0))</f>
        <v/>
      </c>
      <c r="K285" s="7">
        <f>A285&amp;"|"&amp;B285</f>
        <v/>
      </c>
      <c r="L285" s="13" t="inlineStr">
        <is>
          <t>ACTIVIDAD COMPLETADA</t>
        </is>
      </c>
    </row>
    <row r="286">
      <c r="A286" s="7" t="inlineStr">
        <is>
          <t>sgc-2023-25</t>
        </is>
      </c>
      <c r="B286" s="7" t="n">
        <v>5</v>
      </c>
      <c r="C286" s="7" t="inlineStr">
        <is>
          <t>SGC</t>
        </is>
      </c>
      <c r="D286" s="7" t="inlineStr">
        <is>
          <t>2023</t>
        </is>
      </c>
      <c r="E286" s="7" t="n">
        <v>25</v>
      </c>
      <c r="F286" s="8" t="n">
        <v>45838</v>
      </c>
      <c r="G286" s="7" t="inlineStr">
        <is>
          <t>DANIEL EDUARDO SOTO BERNAL</t>
        </is>
      </c>
      <c r="H286" s="14" t="n">
        <v>2</v>
      </c>
      <c r="I286" s="15">
        <f>IF(H286="","",H286/2)</f>
        <v/>
      </c>
      <c r="J286" s="7">
        <f>IF(H286="",0,IF(SUMPRODUCT((Seguimientos!$A$2:$A$1013=A286)*(Seguimientos!$F$2:$F$1013=F286)*(Seguimientos!$B$2:$B$1013&gt;B286)*(Seguimientos!$H$2:$H$1013&lt;&gt;""))=0,1,0))</f>
        <v/>
      </c>
      <c r="K286" s="7">
        <f>A286&amp;"|"&amp;B286</f>
        <v/>
      </c>
      <c r="L286" s="13" t="inlineStr">
        <is>
          <t>ACTIVIDAD COMPLETADA</t>
        </is>
      </c>
    </row>
    <row r="287">
      <c r="A287" s="7" t="inlineStr">
        <is>
          <t>sgc-2023-25</t>
        </is>
      </c>
      <c r="B287" s="7" t="n">
        <v>6</v>
      </c>
      <c r="C287" s="7" t="inlineStr">
        <is>
          <t>SGC</t>
        </is>
      </c>
      <c r="D287" s="7" t="inlineStr">
        <is>
          <t>2023</t>
        </is>
      </c>
      <c r="E287" s="7" t="n">
        <v>25</v>
      </c>
      <c r="F287" s="8" t="n">
        <v>45930</v>
      </c>
      <c r="G287" s="7" t="inlineStr">
        <is>
          <t>JOAN IMAYINNE GALVIS MORENO</t>
        </is>
      </c>
      <c r="H287" s="14" t="n">
        <v>2</v>
      </c>
      <c r="I287" s="15">
        <f>IF(H287="","",H287/2)</f>
        <v/>
      </c>
      <c r="J287" s="7">
        <f>IF(H287="",0,IF(SUMPRODUCT((Seguimientos!$A$2:$A$1013=A287)*(Seguimientos!$F$2:$F$1013=F287)*(Seguimientos!$B$2:$B$1013&gt;B287)*(Seguimientos!$H$2:$H$1013&lt;&gt;""))=0,1,0))</f>
        <v/>
      </c>
      <c r="K287" s="7">
        <f>A287&amp;"|"&amp;B287</f>
        <v/>
      </c>
      <c r="L287" s="13" t="inlineStr">
        <is>
          <t>ACTIVIDAD COMPLETADA</t>
        </is>
      </c>
    </row>
    <row r="288">
      <c r="A288" s="7" t="inlineStr">
        <is>
          <t>sgc-2023-25</t>
        </is>
      </c>
      <c r="B288" s="7" t="n">
        <v>7</v>
      </c>
      <c r="C288" s="7" t="inlineStr">
        <is>
          <t>SGC</t>
        </is>
      </c>
      <c r="D288" s="7" t="inlineStr">
        <is>
          <t>2023</t>
        </is>
      </c>
      <c r="E288" s="7" t="n">
        <v>25</v>
      </c>
      <c r="F288" s="8" t="n">
        <v>46021</v>
      </c>
      <c r="G288" s="7" t="inlineStr">
        <is>
          <t>JOAN IMAYINNE GALVIS MORENO</t>
        </is>
      </c>
      <c r="H288" s="14" t="n">
        <v>2</v>
      </c>
      <c r="I288" s="15">
        <f>IF(H288="","",H288/2)</f>
        <v/>
      </c>
      <c r="J288" s="7">
        <f>IF(H288="",0,IF(SUMPRODUCT((Seguimientos!$A$2:$A$1013=A288)*(Seguimientos!$F$2:$F$1013=F288)*(Seguimientos!$B$2:$B$1013&gt;B288)*(Seguimientos!$H$2:$H$1013&lt;&gt;""))=0,1,0))</f>
        <v/>
      </c>
      <c r="K288" s="7">
        <f>A288&amp;"|"&amp;B288</f>
        <v/>
      </c>
      <c r="L288" s="13" t="inlineStr">
        <is>
          <t>ACTIVIDAD COMPLETADA</t>
        </is>
      </c>
    </row>
    <row r="289">
      <c r="A289" s="7" t="inlineStr">
        <is>
          <t>sgc-2023-25</t>
        </is>
      </c>
      <c r="B289" s="7" t="n">
        <v>8</v>
      </c>
      <c r="C289" s="7" t="inlineStr">
        <is>
          <t>SGC</t>
        </is>
      </c>
      <c r="D289" s="7" t="inlineStr">
        <is>
          <t>2023</t>
        </is>
      </c>
      <c r="E289" s="7" t="n">
        <v>25</v>
      </c>
      <c r="F289" s="8" t="n">
        <v>46142</v>
      </c>
      <c r="G289" s="7" t="inlineStr">
        <is>
          <t>JOAN IMAYINNE GALVIS MORENO</t>
        </is>
      </c>
      <c r="H289" s="14" t="n">
        <v>2</v>
      </c>
      <c r="I289" s="15">
        <f>IF(H289="","",H289/2)</f>
        <v/>
      </c>
      <c r="J289" s="7">
        <f>IF(H289="",0,IF(SUMPRODUCT((Seguimientos!$A$2:$A$1013=A289)*(Seguimientos!$F$2:$F$1013=F289)*(Seguimientos!$B$2:$B$1013&gt;B289)*(Seguimientos!$H$2:$H$1013&lt;&gt;""))=0,1,0))</f>
        <v/>
      </c>
      <c r="K289" s="7">
        <f>A289&amp;"|"&amp;B289</f>
        <v/>
      </c>
      <c r="L289" s="13" t="inlineStr">
        <is>
          <t>ACTIVIDAD COMPLETADA</t>
        </is>
      </c>
    </row>
    <row r="290">
      <c r="A290" s="7" t="inlineStr">
        <is>
          <t>sgc-2023-25</t>
        </is>
      </c>
      <c r="B290" s="7" t="n">
        <v>9</v>
      </c>
      <c r="C290" s="7" t="inlineStr">
        <is>
          <t>SGC</t>
        </is>
      </c>
      <c r="D290" s="7" t="inlineStr">
        <is>
          <t>2023</t>
        </is>
      </c>
      <c r="E290" s="7" t="n">
        <v>25</v>
      </c>
      <c r="F290" s="8" t="n">
        <v>46203</v>
      </c>
      <c r="G290" s="7" t="inlineStr">
        <is>
          <t>JOAN IMAYINNE GALVIS MORENO</t>
        </is>
      </c>
      <c r="H290" s="14" t="n">
        <v>2</v>
      </c>
      <c r="I290" s="15">
        <f>IF(H290="","",H290/2)</f>
        <v/>
      </c>
      <c r="J290" s="7">
        <f>IF(H290="",0,IF(SUMPRODUCT((Seguimientos!$A$2:$A$1013=A290)*(Seguimientos!$F$2:$F$1013=F290)*(Seguimientos!$B$2:$B$1013&gt;B290)*(Seguimientos!$H$2:$H$1013&lt;&gt;""))=0,1,0))</f>
        <v/>
      </c>
      <c r="K290" s="7">
        <f>A290&amp;"|"&amp;B290</f>
        <v/>
      </c>
      <c r="L290" s="13" t="inlineStr">
        <is>
          <t>ACTIVIDAD COMPLETADA</t>
        </is>
      </c>
    </row>
    <row r="291">
      <c r="A291" s="7" t="inlineStr">
        <is>
          <t>sgc-2023-26</t>
        </is>
      </c>
      <c r="B291" s="7" t="n">
        <v>1</v>
      </c>
      <c r="C291" s="7" t="inlineStr">
        <is>
          <t>SGC</t>
        </is>
      </c>
      <c r="D291" s="7" t="inlineStr">
        <is>
          <t>2023</t>
        </is>
      </c>
      <c r="E291" s="7" t="n">
        <v>26</v>
      </c>
      <c r="F291" s="8" t="n">
        <v>45405</v>
      </c>
      <c r="G291" s="7" t="inlineStr">
        <is>
          <t>DANIEL EDUARDO SOTO BERNAL</t>
        </is>
      </c>
      <c r="H291" s="14" t="n">
        <v>0</v>
      </c>
      <c r="I291" s="15">
        <f>IF(H291="","",H291/2)</f>
        <v/>
      </c>
      <c r="J291" s="7">
        <f>IF(H291="",0,IF(SUMPRODUCT((Seguimientos!$A$2:$A$1013=A291)*(Seguimientos!$F$2:$F$1013=F291)*(Seguimientos!$B$2:$B$1013&gt;B291)*(Seguimientos!$H$2:$H$1013&lt;&gt;""))=0,1,0))</f>
        <v/>
      </c>
      <c r="K291" s="7">
        <f>A291&amp;"|"&amp;B291</f>
        <v/>
      </c>
      <c r="L291" s="13" t="inlineStr">
        <is>
          <t>Actividad pendiente por cumplir, No soportan evidencia.</t>
        </is>
      </c>
    </row>
    <row r="292">
      <c r="A292" s="7" t="inlineStr">
        <is>
          <t>sgc-2023-26</t>
        </is>
      </c>
      <c r="B292" s="7" t="n">
        <v>2</v>
      </c>
      <c r="C292" s="7" t="inlineStr">
        <is>
          <t>SGC</t>
        </is>
      </c>
      <c r="D292" s="7" t="inlineStr">
        <is>
          <t>2023</t>
        </is>
      </c>
      <c r="E292" s="7" t="n">
        <v>26</v>
      </c>
      <c r="F292" s="8" t="n">
        <v>45497</v>
      </c>
      <c r="G292" s="7" t="inlineStr">
        <is>
          <t>DANIEL EDUARDO SOTO BERNAL</t>
        </is>
      </c>
      <c r="H292" s="14" t="n">
        <v>0</v>
      </c>
      <c r="I292" s="15">
        <f>IF(H292="","",H292/2)</f>
        <v/>
      </c>
      <c r="J292" s="7">
        <f>IF(H292="",0,IF(SUMPRODUCT((Seguimientos!$A$2:$A$1013=A292)*(Seguimientos!$F$2:$F$1013=F292)*(Seguimientos!$B$2:$B$1013&gt;B292)*(Seguimientos!$H$2:$H$1013&lt;&gt;""))=0,1,0))</f>
        <v/>
      </c>
      <c r="K292" s="7">
        <f>A292&amp;"|"&amp;B292</f>
        <v/>
      </c>
      <c r="L292" s="13" t="inlineStr">
        <is>
          <t>A la fecha no se ha oficializado el nuevo plan de desarrollo definitivo por parte de la alta dirección.</t>
        </is>
      </c>
    </row>
    <row r="293">
      <c r="A293" s="7" t="inlineStr">
        <is>
          <t>sgc-2023-26</t>
        </is>
      </c>
      <c r="B293" s="7" t="n">
        <v>3</v>
      </c>
      <c r="C293" s="7" t="inlineStr">
        <is>
          <t>SGC</t>
        </is>
      </c>
      <c r="D293" s="7" t="inlineStr">
        <is>
          <t>2023</t>
        </is>
      </c>
      <c r="E293" s="7" t="n">
        <v>26</v>
      </c>
      <c r="F293" s="8" t="n">
        <v>45583</v>
      </c>
      <c r="G293" s="7" t="inlineStr">
        <is>
          <t>DANIEL EDUARDO SOTO BERNAL</t>
        </is>
      </c>
      <c r="H293" s="14" t="n">
        <v>0</v>
      </c>
      <c r="I293" s="15">
        <f>IF(H293="","",H293/2)</f>
        <v/>
      </c>
      <c r="J293" s="7">
        <f>IF(H293="",0,IF(SUMPRODUCT((Seguimientos!$A$2:$A$1013=A293)*(Seguimientos!$F$2:$F$1013=F293)*(Seguimientos!$B$2:$B$1013&gt;B293)*(Seguimientos!$H$2:$H$1013&lt;&gt;""))=0,1,0))</f>
        <v/>
      </c>
      <c r="K293" s="7">
        <f>A293&amp;"|"&amp;B293</f>
        <v/>
      </c>
      <c r="L293" s="13" t="inlineStr">
        <is>
          <t>A la fecha no se ha oficializado el nuevo plan de desarrollo definitivo por parte de la alta dirección.</t>
        </is>
      </c>
    </row>
    <row r="294">
      <c r="A294" s="7" t="inlineStr">
        <is>
          <t>sgc-2023-26</t>
        </is>
      </c>
      <c r="B294" s="7" t="n">
        <v>4</v>
      </c>
      <c r="C294" s="7" t="inlineStr">
        <is>
          <t>SGC</t>
        </is>
      </c>
      <c r="D294" s="7" t="inlineStr">
        <is>
          <t>2023</t>
        </is>
      </c>
      <c r="E294" s="7" t="n">
        <v>26</v>
      </c>
      <c r="F294" s="8" t="n">
        <v>45777</v>
      </c>
      <c r="G294" s="7" t="inlineStr">
        <is>
          <t>DANIEL EDUARDO SOTO BERNAL</t>
        </is>
      </c>
      <c r="H294" s="14" t="n">
        <v>0</v>
      </c>
      <c r="I294" s="15">
        <f>IF(H294="","",H294/2)</f>
        <v/>
      </c>
      <c r="J294" s="7">
        <f>IF(H294="",0,IF(SUMPRODUCT((Seguimientos!$A$2:$A$1013=A294)*(Seguimientos!$F$2:$F$1013=F294)*(Seguimientos!$B$2:$B$1013&gt;B294)*(Seguimientos!$H$2:$H$1013&lt;&gt;""))=0,1,0))</f>
        <v/>
      </c>
      <c r="K294" s="7">
        <f>A294&amp;"|"&amp;B294</f>
        <v/>
      </c>
      <c r="L294" s="13" t="inlineStr">
        <is>
          <t>28-04-2025 A la fecha se tiene contemplado realizar en el segundo semestre del 2025 el analisis correspondiente que confirme que la politica sea conveniente, adecuada, eficaz y que a su vez se alinie con la dirección estratégica de la organización.</t>
        </is>
      </c>
    </row>
    <row r="295">
      <c r="A295" s="7" t="inlineStr">
        <is>
          <t>sgc-2023-26</t>
        </is>
      </c>
      <c r="B295" s="7" t="n">
        <v>5</v>
      </c>
      <c r="C295" s="7" t="inlineStr">
        <is>
          <t>SGC</t>
        </is>
      </c>
      <c r="D295" s="7" t="inlineStr">
        <is>
          <t>2023</t>
        </is>
      </c>
      <c r="E295" s="7" t="n">
        <v>26</v>
      </c>
      <c r="F295" s="8" t="n">
        <v>45838</v>
      </c>
      <c r="G295" s="7" t="inlineStr">
        <is>
          <t>DANIEL EDUARDO SOTO BERNAL</t>
        </is>
      </c>
      <c r="H295" s="14" t="n">
        <v>0</v>
      </c>
      <c r="I295" s="15">
        <f>IF(H295="","",H295/2)</f>
        <v/>
      </c>
      <c r="J295" s="7">
        <f>IF(H295="",0,IF(SUMPRODUCT((Seguimientos!$A$2:$A$1013=A295)*(Seguimientos!$F$2:$F$1013=F295)*(Seguimientos!$B$2:$B$1013&gt;B295)*(Seguimientos!$H$2:$H$1013&lt;&gt;""))=0,1,0))</f>
        <v/>
      </c>
      <c r="K295" s="7">
        <f>A295&amp;"|"&amp;B295</f>
        <v/>
      </c>
      <c r="L295" s="13" t="inlineStr">
        <is>
          <t>Actividad pendiente por cumplir, No soportan evidencia.</t>
        </is>
      </c>
    </row>
    <row r="296">
      <c r="A296" s="7" t="inlineStr">
        <is>
          <t>sgc-2023-26</t>
        </is>
      </c>
      <c r="B296" s="7" t="n">
        <v>6</v>
      </c>
      <c r="C296" s="7" t="inlineStr">
        <is>
          <t>SGC</t>
        </is>
      </c>
      <c r="D296" s="7" t="inlineStr">
        <is>
          <t>2023</t>
        </is>
      </c>
      <c r="E296" s="7" t="n">
        <v>26</v>
      </c>
      <c r="F296" s="8" t="n">
        <v>45930</v>
      </c>
      <c r="G296" s="7" t="inlineStr">
        <is>
          <t>JOAN IMAYINNE GALVIS MORENO</t>
        </is>
      </c>
      <c r="H296" s="14" t="n">
        <v>1</v>
      </c>
      <c r="I296" s="15">
        <f>IF(H296="","",H296/2)</f>
        <v/>
      </c>
      <c r="J296" s="7">
        <f>IF(H296="",0,IF(SUMPRODUCT((Seguimientos!$A$2:$A$1013=A296)*(Seguimientos!$F$2:$F$1013=F296)*(Seguimientos!$B$2:$B$1013&gt;B296)*(Seguimientos!$H$2:$H$1013&lt;&gt;""))=0,1,0))</f>
        <v/>
      </c>
      <c r="K296" s="7">
        <f>A296&amp;"|"&amp;B296</f>
        <v/>
      </c>
      <c r="L296" s="13" t="inlineStr">
        <is>
          <t>En el cronograma de reuniones para la integración de los sistemas de gestión, se contemplarán las condiciones y decisiones establecidas en la Resolución 096 y las disposiciones adicionales de cada sistema. Se adjunta el acta del 8 de mayo de 2025 correspondiente a la mesa de trabajo de los sistemas de gestión, en donde se dejan toma de decisiones para proximas mesas de trabajo, ademas de que el acta enviada no esta debidamente suscrita</t>
        </is>
      </c>
    </row>
    <row r="297">
      <c r="A297" s="7" t="inlineStr">
        <is>
          <t>sgc-2023-26</t>
        </is>
      </c>
      <c r="B297" s="7" t="n">
        <v>7</v>
      </c>
      <c r="C297" s="7" t="inlineStr">
        <is>
          <t>SGC</t>
        </is>
      </c>
      <c r="D297" s="7" t="inlineStr">
        <is>
          <t>2023</t>
        </is>
      </c>
      <c r="E297" s="7" t="n">
        <v>26</v>
      </c>
      <c r="F297" s="8" t="n">
        <v>46021</v>
      </c>
      <c r="G297" s="7" t="inlineStr">
        <is>
          <t>JOAN IMAYINNE GALVIS MORENO</t>
        </is>
      </c>
      <c r="H297" s="14" t="n">
        <v>1</v>
      </c>
      <c r="I297" s="15">
        <f>IF(H297="","",H297/2)</f>
        <v/>
      </c>
      <c r="J297" s="7">
        <f>IF(H297="",0,IF(SUMPRODUCT((Seguimientos!$A$2:$A$1013=A297)*(Seguimientos!$F$2:$F$1013=F297)*(Seguimientos!$B$2:$B$1013&gt;B297)*(Seguimientos!$H$2:$H$1013&lt;&gt;""))=0,1,0))</f>
        <v/>
      </c>
      <c r="K297" s="7">
        <f>A297&amp;"|"&amp;B297</f>
        <v/>
      </c>
      <c r="L297" s="13" t="inlineStr">
        <is>
          <t>Dando cumplimiento a las actividades de la Revisión por la Dirección de vigencia 2025, se envía la propuesta el día lunes 24 de noviembre de 2025 la propuesta de Resolución a la Dirección Jurídica para recibir las oportunidades de mejora. se agenda mesa de trabajo con el abogado asignado para gestionar lo relacionado con la Resolución 096. (Se adjunta PDF correo electronico.)</t>
        </is>
      </c>
    </row>
    <row r="298">
      <c r="A298" s="7" t="inlineStr">
        <is>
          <t>sgc-2023-26</t>
        </is>
      </c>
      <c r="B298" s="7" t="n">
        <v>8</v>
      </c>
      <c r="C298" s="7" t="inlineStr">
        <is>
          <t>SGC</t>
        </is>
      </c>
      <c r="D298" s="7" t="inlineStr">
        <is>
          <t>2023</t>
        </is>
      </c>
      <c r="E298" s="7" t="n">
        <v>26</v>
      </c>
      <c r="F298" s="8" t="n">
        <v>46142</v>
      </c>
      <c r="G298" s="7" t="inlineStr">
        <is>
          <t>JOAN IMAYINNE GALVIS MORENO</t>
        </is>
      </c>
      <c r="H298" s="14" t="n">
        <v>1</v>
      </c>
      <c r="I298" s="15">
        <f>IF(H298="","",H298/2)</f>
        <v/>
      </c>
      <c r="J298" s="7">
        <f>IF(H298="",0,IF(SUMPRODUCT((Seguimientos!$A$2:$A$1013=A298)*(Seguimientos!$F$2:$F$1013=F298)*(Seguimientos!$B$2:$B$1013&gt;B298)*(Seguimientos!$H$2:$H$1013&lt;&gt;""))=0,1,0))</f>
        <v/>
      </c>
      <c r="K298" s="7">
        <f>A298&amp;"|"&amp;B298</f>
        <v/>
      </c>
      <c r="L298" s="13" t="inlineStr">
        <is>
          <t>Dando cumplimiento a las actividades de la Revisión por la Dirección de vigencia 2023, la propuesta del Lineamiento de la Política del SGC con el Lineamiento de la Política de los SIG, se encuentra en proceso de firmas por parte de la Dirección Jurídica (Se adjunta PDF correo electrónico).</t>
        </is>
      </c>
    </row>
    <row r="299">
      <c r="A299" s="7" t="inlineStr">
        <is>
          <t>sgc-2023-26</t>
        </is>
      </c>
      <c r="B299" s="7" t="n">
        <v>9</v>
      </c>
      <c r="C299" s="7" t="inlineStr">
        <is>
          <t>SGC</t>
        </is>
      </c>
      <c r="D299" s="7" t="inlineStr">
        <is>
          <t>2023</t>
        </is>
      </c>
      <c r="E299" s="7" t="n">
        <v>26</v>
      </c>
      <c r="F299" s="8" t="n">
        <v>46203</v>
      </c>
      <c r="G299" s="7" t="inlineStr">
        <is>
          <t>JOAN IMAYINNE GALVIS MORENO</t>
        </is>
      </c>
      <c r="H299" s="14" t="n">
        <v>1</v>
      </c>
      <c r="I299" s="15">
        <f>IF(H299="","",H299/2)</f>
        <v/>
      </c>
      <c r="J299" s="7">
        <f>IF(H299="",0,IF(SUMPRODUCT((Seguimientos!$A$2:$A$1013=A299)*(Seguimientos!$F$2:$F$1013=F299)*(Seguimientos!$B$2:$B$1013&gt;B299)*(Seguimientos!$H$2:$H$1013&lt;&gt;""))=0,1,0))</f>
        <v/>
      </c>
      <c r="K299" s="7">
        <f>A299&amp;"|"&amp;B299</f>
        <v/>
      </c>
      <c r="L299" s="13" t="inlineStr"/>
    </row>
    <row r="300">
      <c r="A300" s="7" t="inlineStr">
        <is>
          <t>sgc-2023-27</t>
        </is>
      </c>
      <c r="B300" s="7" t="n">
        <v>1</v>
      </c>
      <c r="C300" s="7" t="inlineStr">
        <is>
          <t>SGC</t>
        </is>
      </c>
      <c r="D300" s="7" t="inlineStr">
        <is>
          <t>2023</t>
        </is>
      </c>
      <c r="E300" s="7" t="n">
        <v>27</v>
      </c>
      <c r="F300" s="8" t="n">
        <v>45405</v>
      </c>
      <c r="G300" s="7" t="inlineStr">
        <is>
          <t>DANIEL EDUARDO SOTO BERNAL</t>
        </is>
      </c>
      <c r="H300" s="14" t="n">
        <v>1</v>
      </c>
      <c r="I300" s="15">
        <f>IF(H300="","",H300/2)</f>
        <v/>
      </c>
      <c r="J300" s="7">
        <f>IF(H300="",0,IF(SUMPRODUCT((Seguimientos!$A$2:$A$1013=A300)*(Seguimientos!$F$2:$F$1013=F300)*(Seguimientos!$B$2:$B$1013&gt;B300)*(Seguimientos!$H$2:$H$1013&lt;&gt;""))=0,1,0))</f>
        <v/>
      </c>
      <c r="K300" s="7">
        <f>A300&amp;"|"&amp;B300</f>
        <v/>
      </c>
      <c r="L300" s="13" t="inlineStr">
        <is>
          <t>Desde la Vicerrectoría Académica se está trabajando en la actualización y ajustes finales de la matriz de indicadores, la guía, los instrumentos de valoración y el borrador del Acuerdo del nuevo modelo de evaluación profesoral para posterior aprobación de la jefatura de la Oficina de Desarrollo Académico y la Vicerrectoría Académica. Una vez completada esta fase se procederá a solicitar la aprobación ante el Consejo Académico. Desde la Vicerrectoría Académica, la Oficina de Desarrollo Académico y la EFAD se ha estado trabajando en la consolidación de la matriz de Indicadores para la valoración de profesores. Actualmente, el proceso se encuentra en la etapa de socialización con los Decanos de Facultad y posteriormente se llevará a cabo con los Coordinadores de Programa, los Gestores del Conocimiento y el Aprendizaje, y la comunidad universitaria en general, con el objetivo de recibir retroalimentación y sugerencias sobre el modelo propuesto. VICTOR HUGO LONDOÑO AGUIRRE 30-04-2024</t>
        </is>
      </c>
    </row>
    <row r="301">
      <c r="A301" s="7" t="inlineStr">
        <is>
          <t>sgc-2023-27</t>
        </is>
      </c>
      <c r="B301" s="7" t="n">
        <v>2</v>
      </c>
      <c r="C301" s="7" t="inlineStr">
        <is>
          <t>SGC</t>
        </is>
      </c>
      <c r="D301" s="7" t="inlineStr">
        <is>
          <t>2023</t>
        </is>
      </c>
      <c r="E301" s="7" t="n">
        <v>27</v>
      </c>
      <c r="F301" s="8" t="n">
        <v>45497</v>
      </c>
      <c r="G301" s="7" t="inlineStr">
        <is>
          <t>DANIEL EDUARDO SOTO BERNAL</t>
        </is>
      </c>
      <c r="H301" s="14" t="n">
        <v>1</v>
      </c>
      <c r="I301" s="15">
        <f>IF(H301="","",H301/2)</f>
        <v/>
      </c>
      <c r="J301" s="7">
        <f>IF(H301="",0,IF(SUMPRODUCT((Seguimientos!$A$2:$A$1013=A301)*(Seguimientos!$F$2:$F$1013=F301)*(Seguimientos!$B$2:$B$1013&gt;B301)*(Seguimientos!$H$2:$H$1013&lt;&gt;""))=0,1,0))</f>
        <v/>
      </c>
      <c r="K301" s="7">
        <f>A301&amp;"|"&amp;B301</f>
        <v/>
      </c>
      <c r="L301" s="13" t="inlineStr">
        <is>
          <t>Ya se cuenta con la matriz de evaluación y en este momento se encuentra a la espera del desarrollo de los grupos focales con los gestores del conocimiento y el aprendizaje, ya se han realizado dos de los encuentros con grupos focales, específicamente con la Facultad de Ciencias Agropecuarias y la Facultad de Ciencias Administrativas Económicas y Contables. Se reestablecerán estos encuentros una vez inicie el periodo académico para poder contar con mayor participación por parte de los gestores de cada programa. Estos encuentros con grupos focales y la recolección de la información se encuentran actualmente a cargo de la Escuela de formación y Aprendizaje Docente EFAD. VICERRECTORÍA ACADÉMICA 19-07-2024 Desde la Vicerrectoría Académica en articulación con la Escuela de Formación y Aprendizaje Docente EFAD S21, se realizó el despliegue de grupos focales con Facultades con el fin de realizar la socialización y retroalimentación de la matriz del nuevo modelo de evaluación de gestores del conocimiento y el aprendizaje, de conformidad se remiten registros de asistencia con las retroalimentaciones realizadas, actas de la relatoría de los días 18 y 19 de junio y las grabaciones como evidencias del avance en la gestión realizada. / Desarrollo Académico</t>
        </is>
      </c>
    </row>
    <row r="302">
      <c r="A302" s="7" t="inlineStr">
        <is>
          <t>sgc-2023-27</t>
        </is>
      </c>
      <c r="B302" s="7" t="n">
        <v>3</v>
      </c>
      <c r="C302" s="7" t="inlineStr">
        <is>
          <t>SGC</t>
        </is>
      </c>
      <c r="D302" s="7" t="inlineStr">
        <is>
          <t>2023</t>
        </is>
      </c>
      <c r="E302" s="7" t="n">
        <v>27</v>
      </c>
      <c r="F302" s="8" t="n">
        <v>45583</v>
      </c>
      <c r="G302" s="7" t="inlineStr">
        <is>
          <t>DANIEL EDUARDO SOTO BERNAL</t>
        </is>
      </c>
      <c r="H302" s="14" t="n">
        <v>1</v>
      </c>
      <c r="I302" s="15">
        <f>IF(H302="","",H302/2)</f>
        <v/>
      </c>
      <c r="J302" s="7">
        <f>IF(H302="",0,IF(SUMPRODUCT((Seguimientos!$A$2:$A$1013=A302)*(Seguimientos!$F$2:$F$1013=F302)*(Seguimientos!$B$2:$B$1013&gt;B302)*(Seguimientos!$H$2:$H$1013&lt;&gt;""))=0,1,0))</f>
        <v/>
      </c>
      <c r="K302" s="7">
        <f>A302&amp;"|"&amp;B302</f>
        <v/>
      </c>
      <c r="L302" s="13" t="inlineStr">
        <is>
          <t>Para continuar con el proceso de despliegue de los grupos focales, se está avanzando en la socialización y retroalimentación de la matriz del nuevo modelo de evaluación de gestores del conocimiento y el aprendizaje. En esta etapa, el enfoque está en activar las facultades que aún no han participado, con el objetivo de asegurar una cobertura completa y una comprensión integral de los elementos clave del modelo. La socialización con estas facultades faltantes permitirá recopilar perspectivas adicionales y garantizar que se integren diversas opiniones y enfoques. Esto no solo contribuirá a una evaluación más equitativa y representativa, sino que también ayudará a ajustar y mejorar el modelo en función de las necesidades específicas y los contextos particulares de cada facultad.</t>
        </is>
      </c>
    </row>
    <row r="303">
      <c r="A303" s="7" t="inlineStr">
        <is>
          <t>sgc-2023-27</t>
        </is>
      </c>
      <c r="B303" s="7" t="n">
        <v>4</v>
      </c>
      <c r="C303" s="7" t="inlineStr">
        <is>
          <t>SGC</t>
        </is>
      </c>
      <c r="D303" s="7" t="inlineStr">
        <is>
          <t>2023</t>
        </is>
      </c>
      <c r="E303" s="7" t="n">
        <v>27</v>
      </c>
      <c r="F303" s="8" t="n">
        <v>45777</v>
      </c>
      <c r="G303" s="7" t="inlineStr">
        <is>
          <t>DANIEL EDUARDO SOTO BERNAL</t>
        </is>
      </c>
      <c r="H303" s="14" t="n">
        <v>1</v>
      </c>
      <c r="I303" s="15">
        <f>IF(H303="","",H303/2)</f>
        <v/>
      </c>
      <c r="J303" s="7">
        <f>IF(H303="",0,IF(SUMPRODUCT((Seguimientos!$A$2:$A$1013=A303)*(Seguimientos!$F$2:$F$1013=F303)*(Seguimientos!$B$2:$B$1013&gt;B303)*(Seguimientos!$H$2:$H$1013&lt;&gt;""))=0,1,0))</f>
        <v/>
      </c>
      <c r="K303" s="7">
        <f>A303&amp;"|"&amp;B303</f>
        <v/>
      </c>
      <c r="L303" s="13" t="inlineStr">
        <is>
          <t>Actividad pendiente por cumplir, No soportan evidencia.</t>
        </is>
      </c>
    </row>
    <row r="304">
      <c r="A304" s="7" t="inlineStr">
        <is>
          <t>sgc-2023-27</t>
        </is>
      </c>
      <c r="B304" s="7" t="n">
        <v>5</v>
      </c>
      <c r="C304" s="7" t="inlineStr">
        <is>
          <t>SGC</t>
        </is>
      </c>
      <c r="D304" s="7" t="inlineStr">
        <is>
          <t>2023</t>
        </is>
      </c>
      <c r="E304" s="7" t="n">
        <v>27</v>
      </c>
      <c r="F304" s="8" t="n">
        <v>45838</v>
      </c>
      <c r="G304" s="7" t="inlineStr">
        <is>
          <t>DANIEL EDUARDO SOTO BERNAL</t>
        </is>
      </c>
      <c r="H304" s="14" t="n">
        <v>1</v>
      </c>
      <c r="I304" s="15">
        <f>IF(H304="","",H304/2)</f>
        <v/>
      </c>
      <c r="J304" s="7">
        <f>IF(H304="",0,IF(SUMPRODUCT((Seguimientos!$A$2:$A$1013=A304)*(Seguimientos!$F$2:$F$1013=F304)*(Seguimientos!$B$2:$B$1013&gt;B304)*(Seguimientos!$H$2:$H$1013&lt;&gt;""))=0,1,0))</f>
        <v/>
      </c>
      <c r="K304" s="7">
        <f>A304&amp;"|"&amp;B304</f>
        <v/>
      </c>
      <c r="L304" s="13" t="inlineStr">
        <is>
          <t>Actividad pendiente por cumplir, No soportan evidencia.</t>
        </is>
      </c>
    </row>
    <row r="305">
      <c r="A305" s="7" t="inlineStr">
        <is>
          <t>sgc-2023-27</t>
        </is>
      </c>
      <c r="B305" s="7" t="n">
        <v>6</v>
      </c>
      <c r="C305" s="7" t="inlineStr">
        <is>
          <t>SGC</t>
        </is>
      </c>
      <c r="D305" s="7" t="inlineStr">
        <is>
          <t>2023</t>
        </is>
      </c>
      <c r="E305" s="7" t="n">
        <v>27</v>
      </c>
      <c r="F305" s="8" t="n">
        <v>45930</v>
      </c>
      <c r="G305" s="7" t="inlineStr">
        <is>
          <t>JOAN IMAYINNE GALVIS MORENO</t>
        </is>
      </c>
      <c r="H305" s="14" t="n">
        <v>1.5</v>
      </c>
      <c r="I305" s="15">
        <f>IF(H305="","",H305/2)</f>
        <v/>
      </c>
      <c r="J305" s="7">
        <f>IF(H305="",0,IF(SUMPRODUCT((Seguimientos!$A$2:$A$1013=A305)*(Seguimientos!$F$2:$F$1013=F305)*(Seguimientos!$B$2:$B$1013&gt;B305)*(Seguimientos!$H$2:$H$1013&lt;&gt;""))=0,1,0))</f>
        <v/>
      </c>
      <c r="K305" s="7">
        <f>A305&amp;"|"&amp;B305</f>
        <v/>
      </c>
      <c r="L305" s="13" t="inlineStr">
        <is>
          <t>La Oficina de Desarrollo Académico remitió el borrador del Proyecto de Valoración de Desempeño de Gestores del Conocimiento y el Aprendizaje, orientado a reconocer sus aportes en formación, investigación e interacción social universitaria. El proyecto busca fortalecer la cultura de evaluación y mejora continua, alineada con el Modelo Educativo Digital Transmoderno (MEDIT), y consolidar un sistema de valoración justo y digitalizado que contribuya a la calidad educativa y a los objetivos institucionales. Se espera que para el próximo seguimiento se presente el documento formalizado.</t>
        </is>
      </c>
    </row>
    <row r="306">
      <c r="A306" s="7" t="inlineStr">
        <is>
          <t>sgc-2023-27</t>
        </is>
      </c>
      <c r="B306" s="7" t="n">
        <v>7</v>
      </c>
      <c r="C306" s="7" t="inlineStr">
        <is>
          <t>SGC</t>
        </is>
      </c>
      <c r="D306" s="7" t="inlineStr">
        <is>
          <t>2023</t>
        </is>
      </c>
      <c r="E306" s="7" t="n">
        <v>27</v>
      </c>
      <c r="F306" s="8" t="n">
        <v>46021</v>
      </c>
      <c r="G306" s="7" t="inlineStr">
        <is>
          <t>JOAN IMAYINNE GALVIS MORENO</t>
        </is>
      </c>
      <c r="H306" s="14" t="n">
        <v>1.5</v>
      </c>
      <c r="I306" s="15">
        <f>IF(H306="","",H306/2)</f>
        <v/>
      </c>
      <c r="J306" s="7">
        <f>IF(H306="",0,IF(SUMPRODUCT((Seguimientos!$A$2:$A$1013=A306)*(Seguimientos!$F$2:$F$1013=F306)*(Seguimientos!$B$2:$B$1013&gt;B306)*(Seguimientos!$H$2:$H$1013&lt;&gt;""))=0,1,0))</f>
        <v/>
      </c>
      <c r="K306" s="7">
        <f>A306&amp;"|"&amp;B306</f>
        <v/>
      </c>
      <c r="L306" s="13" t="inlineStr">
        <is>
          <t>Actividad pendiente por cumplir, No soportan evidencia.</t>
        </is>
      </c>
    </row>
    <row r="307">
      <c r="A307" s="7" t="inlineStr">
        <is>
          <t>sgc-2023-27</t>
        </is>
      </c>
      <c r="B307" s="7" t="n">
        <v>8</v>
      </c>
      <c r="C307" s="7" t="inlineStr">
        <is>
          <t>SGC</t>
        </is>
      </c>
      <c r="D307" s="7" t="inlineStr">
        <is>
          <t>2023</t>
        </is>
      </c>
      <c r="E307" s="7" t="n">
        <v>27</v>
      </c>
      <c r="F307" s="8" t="n">
        <v>46142</v>
      </c>
      <c r="G307" s="7" t="inlineStr">
        <is>
          <t>JOAN IMAYINNE GALVIS MORENO</t>
        </is>
      </c>
      <c r="H307" s="14" t="n">
        <v>1.5</v>
      </c>
      <c r="I307" s="15">
        <f>IF(H307="","",H307/2)</f>
        <v/>
      </c>
      <c r="J307" s="7">
        <f>IF(H307="",0,IF(SUMPRODUCT((Seguimientos!$A$2:$A$1013=A307)*(Seguimientos!$F$2:$F$1013=F307)*(Seguimientos!$B$2:$B$1013&gt;B307)*(Seguimientos!$H$2:$H$1013&lt;&gt;""))=0,1,0))</f>
        <v/>
      </c>
      <c r="K307" s="7">
        <f>A307&amp;"|"&amp;B307</f>
        <v/>
      </c>
      <c r="L307" s="13" t="inlineStr">
        <is>
          <t>De acuerdo con la información suministrada por la Oficina de Desarrollo Académico, se identifica que actualmente se está llevando a cabo la actualización del Modelo de Evaluación para los Gestores del Conocimiento, en lo relacionado con el procedimiento, la estructura de la evaluación, la plataforma para el procesamiento de la información y la aprobación por parte del Consejo Académico. Se remiten los documentos adjuntos y se está a la espera de su aprobación.</t>
        </is>
      </c>
    </row>
    <row r="308">
      <c r="A308" s="7" t="inlineStr">
        <is>
          <t>sgc-2023-27</t>
        </is>
      </c>
      <c r="B308" s="7" t="n">
        <v>9</v>
      </c>
      <c r="C308" s="7" t="inlineStr">
        <is>
          <t>SGC</t>
        </is>
      </c>
      <c r="D308" s="7" t="inlineStr">
        <is>
          <t>2023</t>
        </is>
      </c>
      <c r="E308" s="7" t="n">
        <v>27</v>
      </c>
      <c r="F308" s="8" t="n">
        <v>46203</v>
      </c>
      <c r="G308" s="7" t="inlineStr">
        <is>
          <t>JOAN IMAYINNE GALVIS MORENO</t>
        </is>
      </c>
      <c r="H308" s="14" t="n">
        <v>1.5</v>
      </c>
      <c r="I308" s="15">
        <f>IF(H308="","",H308/2)</f>
        <v/>
      </c>
      <c r="J308" s="7">
        <f>IF(H308="",0,IF(SUMPRODUCT((Seguimientos!$A$2:$A$1013=A308)*(Seguimientos!$F$2:$F$1013=F308)*(Seguimientos!$B$2:$B$1013&gt;B308)*(Seguimientos!$H$2:$H$1013&lt;&gt;""))=0,1,0))</f>
        <v/>
      </c>
      <c r="K308" s="7">
        <f>A308&amp;"|"&amp;B308</f>
        <v/>
      </c>
      <c r="L308" s="13" t="inlineStr">
        <is>
          <t>Por parte de la vicerrectoria academica se evidencia actualizacion del nuevo modelo para los gestores de conocimiento y procedimiento, sin embargo al entregable ser especifico de entregarlo en completitud actualizado. No puede tener modificaciones .</t>
        </is>
      </c>
    </row>
    <row r="309">
      <c r="A309" s="7" t="inlineStr">
        <is>
          <t>sgc-2023-28</t>
        </is>
      </c>
      <c r="B309" s="7" t="n">
        <v>1</v>
      </c>
      <c r="C309" s="7" t="inlineStr">
        <is>
          <t>SGC</t>
        </is>
      </c>
      <c r="D309" s="7" t="inlineStr">
        <is>
          <t>2023</t>
        </is>
      </c>
      <c r="E309" s="7" t="n">
        <v>28</v>
      </c>
      <c r="F309" s="8" t="n">
        <v>45405</v>
      </c>
      <c r="G309" s="7" t="inlineStr">
        <is>
          <t>DANIEL EDUARDO SOTO BERNAL</t>
        </is>
      </c>
      <c r="H309" s="14" t="n">
        <v>0</v>
      </c>
      <c r="I309" s="15">
        <f>IF(H309="","",H309/2)</f>
        <v/>
      </c>
      <c r="J309" s="7">
        <f>IF(H309="",0,IF(SUMPRODUCT((Seguimientos!$A$2:$A$1013=A309)*(Seguimientos!$F$2:$F$1013=F309)*(Seguimientos!$B$2:$B$1013&gt;B309)*(Seguimientos!$H$2:$H$1013&lt;&gt;""))=0,1,0))</f>
        <v/>
      </c>
      <c r="K309" s="7">
        <f>A309&amp;"|"&amp;B309</f>
        <v/>
      </c>
      <c r="L309" s="13" t="inlineStr">
        <is>
          <t>Actividad pendiente por cumplir, No soportan evidencia.</t>
        </is>
      </c>
    </row>
    <row r="310">
      <c r="A310" s="7" t="inlineStr">
        <is>
          <t>sgc-2023-28</t>
        </is>
      </c>
      <c r="B310" s="7" t="n">
        <v>2</v>
      </c>
      <c r="C310" s="7" t="inlineStr">
        <is>
          <t>SGC</t>
        </is>
      </c>
      <c r="D310" s="7" t="inlineStr">
        <is>
          <t>2023</t>
        </is>
      </c>
      <c r="E310" s="7" t="n">
        <v>28</v>
      </c>
      <c r="F310" s="8" t="n">
        <v>45497</v>
      </c>
      <c r="G310" s="7" t="inlineStr">
        <is>
          <t>DANIEL EDUARDO SOTO BERNAL</t>
        </is>
      </c>
      <c r="H310" s="14" t="n">
        <v>0.5</v>
      </c>
      <c r="I310" s="15">
        <f>IF(H310="","",H310/2)</f>
        <v/>
      </c>
      <c r="J310" s="7">
        <f>IF(H310="",0,IF(SUMPRODUCT((Seguimientos!$A$2:$A$1013=A310)*(Seguimientos!$F$2:$F$1013=F310)*(Seguimientos!$B$2:$B$1013&gt;B310)*(Seguimientos!$H$2:$H$1013&lt;&gt;""))=0,1,0))</f>
        <v/>
      </c>
      <c r="K310" s="7">
        <f>A310&amp;"|"&amp;B310</f>
        <v/>
      </c>
      <c r="L310" s="13" t="inlineStr">
        <is>
          <t>Por decisión de Comisión de Gestión COMITÉ DEL SISTEMA DE ASEGURAMIENTO DE LA CALIDAD - SAC de 14 de junio de 2024 ACTA No. 005 DEL 2024 fue aprobada la batería de indicadores para la vigencia 2024.</t>
        </is>
      </c>
    </row>
    <row r="311">
      <c r="A311" s="7" t="inlineStr">
        <is>
          <t>sgc-2023-28</t>
        </is>
      </c>
      <c r="B311" s="7" t="n">
        <v>3</v>
      </c>
      <c r="C311" s="7" t="inlineStr">
        <is>
          <t>SGC</t>
        </is>
      </c>
      <c r="D311" s="7" t="inlineStr">
        <is>
          <t>2023</t>
        </is>
      </c>
      <c r="E311" s="7" t="n">
        <v>28</v>
      </c>
      <c r="F311" s="8" t="n">
        <v>45583</v>
      </c>
      <c r="G311" s="7" t="inlineStr">
        <is>
          <t>DANIEL EDUARDO SOTO BERNAL</t>
        </is>
      </c>
      <c r="H311" s="14" t="n">
        <v>0.5</v>
      </c>
      <c r="I311" s="15">
        <f>IF(H311="","",H311/2)</f>
        <v/>
      </c>
      <c r="J311" s="7">
        <f>IF(H311="",0,IF(SUMPRODUCT((Seguimientos!$A$2:$A$1013=A311)*(Seguimientos!$F$2:$F$1013=F311)*(Seguimientos!$B$2:$B$1013&gt;B311)*(Seguimientos!$H$2:$H$1013&lt;&gt;""))=0,1,0))</f>
        <v/>
      </c>
      <c r="K311" s="7">
        <f>A311&amp;"|"&amp;B311</f>
        <v/>
      </c>
      <c r="L311" s="13" t="inlineStr">
        <is>
          <t>La batería de indicadores se encuentra alineada al plan de desarrollo y plan rectoral actual vigente, los indicadores se encuentran publicados en el Modelo de Operación Digital. Falta aprobación y publicación del plan de desarrollo.</t>
        </is>
      </c>
    </row>
    <row r="312">
      <c r="A312" s="7" t="inlineStr">
        <is>
          <t>sgc-2023-28</t>
        </is>
      </c>
      <c r="B312" s="7" t="n">
        <v>4</v>
      </c>
      <c r="C312" s="7" t="inlineStr">
        <is>
          <t>SGC</t>
        </is>
      </c>
      <c r="D312" s="7" t="inlineStr">
        <is>
          <t>2023</t>
        </is>
      </c>
      <c r="E312" s="7" t="n">
        <v>28</v>
      </c>
      <c r="F312" s="8" t="n">
        <v>45777</v>
      </c>
      <c r="G312" s="7" t="inlineStr">
        <is>
          <t>DANIEL EDUARDO SOTO BERNAL</t>
        </is>
      </c>
      <c r="H312" s="14" t="n">
        <v>0.5</v>
      </c>
      <c r="I312" s="15">
        <f>IF(H312="","",H312/2)</f>
        <v/>
      </c>
      <c r="J312" s="7">
        <f>IF(H312="",0,IF(SUMPRODUCT((Seguimientos!$A$2:$A$1013=A312)*(Seguimientos!$F$2:$F$1013=F312)*(Seguimientos!$B$2:$B$1013&gt;B312)*(Seguimientos!$H$2:$H$1013&lt;&gt;""))=0,1,0))</f>
        <v/>
      </c>
      <c r="K312" s="7">
        <f>A312&amp;"|"&amp;B312</f>
        <v/>
      </c>
      <c r="L312" s="13" t="inlineStr">
        <is>
          <t>28-04-2025 A la fecha se encuentra aprobado y publicado el plan de desarrollo 2024-2027.</t>
        </is>
      </c>
    </row>
    <row r="313">
      <c r="A313" s="7" t="inlineStr">
        <is>
          <t>sgc-2023-28</t>
        </is>
      </c>
      <c r="B313" s="7" t="n">
        <v>5</v>
      </c>
      <c r="C313" s="7" t="inlineStr">
        <is>
          <t>SGC</t>
        </is>
      </c>
      <c r="D313" s="7" t="inlineStr">
        <is>
          <t>2023</t>
        </is>
      </c>
      <c r="E313" s="7" t="n">
        <v>28</v>
      </c>
      <c r="F313" s="8" t="n">
        <v>45838</v>
      </c>
      <c r="G313" s="7" t="inlineStr">
        <is>
          <t>DANIEL EDUARDO SOTO BERNAL</t>
        </is>
      </c>
      <c r="H313" s="14" t="n">
        <v>0.5</v>
      </c>
      <c r="I313" s="15">
        <f>IF(H313="","",H313/2)</f>
        <v/>
      </c>
      <c r="J313" s="7">
        <f>IF(H313="",0,IF(SUMPRODUCT((Seguimientos!$A$2:$A$1013=A313)*(Seguimientos!$F$2:$F$1013=F313)*(Seguimientos!$B$2:$B$1013&gt;B313)*(Seguimientos!$H$2:$H$1013&lt;&gt;""))=0,1,0))</f>
        <v/>
      </c>
      <c r="K313" s="7">
        <f>A313&amp;"|"&amp;B313</f>
        <v/>
      </c>
      <c r="L313" s="13" t="inlineStr">
        <is>
          <t>Actividad pendiente por cumplir, No soportan evidencia.</t>
        </is>
      </c>
    </row>
    <row r="314">
      <c r="A314" s="7" t="inlineStr">
        <is>
          <t>sgc-2023-28</t>
        </is>
      </c>
      <c r="B314" s="7" t="n">
        <v>6</v>
      </c>
      <c r="C314" s="7" t="inlineStr">
        <is>
          <t>SGC</t>
        </is>
      </c>
      <c r="D314" s="7" t="inlineStr">
        <is>
          <t>2023</t>
        </is>
      </c>
      <c r="E314" s="7" t="n">
        <v>28</v>
      </c>
      <c r="F314" s="8" t="n">
        <v>45930</v>
      </c>
      <c r="G314" s="7" t="inlineStr">
        <is>
          <t>JOAN IMAYINNE GALVIS MORENO</t>
        </is>
      </c>
      <c r="H314" s="14" t="n">
        <v>2</v>
      </c>
      <c r="I314" s="15">
        <f>IF(H314="","",H314/2)</f>
        <v/>
      </c>
      <c r="J314" s="7">
        <f>IF(H314="",0,IF(SUMPRODUCT((Seguimientos!$A$2:$A$1013=A314)*(Seguimientos!$F$2:$F$1013=F314)*(Seguimientos!$B$2:$B$1013&gt;B314)*(Seguimientos!$H$2:$H$1013&lt;&gt;""))=0,1,0))</f>
        <v/>
      </c>
      <c r="K314" s="7">
        <f>A314&amp;"|"&amp;B314</f>
        <v/>
      </c>
      <c r="L314" s="13" t="inlineStr">
        <is>
          <t>La oficina de Calidad menciona que la batería de indicadores se encuentra alineada con el Plan de Desarrollo 2024-2027 y el plan rectoral vigente. Estos indicadores fueron presentados en la Comisión de Gestión del primer trimestre de 2024 y están publicados en el Modelo de Operación Digital. Asimismo, se realizó la verificación entre el Plan de Desarrollo 2020-2023 y el 2024-2027, confirmando que los cinco objetivos del Sistema de Gestión de Calidad continúan vigentes. (Se adjunta documento de trabajo de la verificación vs. frentes estratégicos).</t>
        </is>
      </c>
    </row>
    <row r="315">
      <c r="A315" s="7" t="inlineStr">
        <is>
          <t>sgc-2023-28</t>
        </is>
      </c>
      <c r="B315" s="7" t="n">
        <v>7</v>
      </c>
      <c r="C315" s="7" t="inlineStr">
        <is>
          <t>SGC</t>
        </is>
      </c>
      <c r="D315" s="7" t="inlineStr">
        <is>
          <t>2023</t>
        </is>
      </c>
      <c r="E315" s="7" t="n">
        <v>28</v>
      </c>
      <c r="F315" s="8" t="n">
        <v>46021</v>
      </c>
      <c r="G315" s="7" t="inlineStr">
        <is>
          <t>JOAN IMAYINNE GALVIS MORENO</t>
        </is>
      </c>
      <c r="H315" s="14" t="n">
        <v>2</v>
      </c>
      <c r="I315" s="15">
        <f>IF(H315="","",H315/2)</f>
        <v/>
      </c>
      <c r="J315" s="7">
        <f>IF(H315="",0,IF(SUMPRODUCT((Seguimientos!$A$2:$A$1013=A315)*(Seguimientos!$F$2:$F$1013=F315)*(Seguimientos!$B$2:$B$1013&gt;B315)*(Seguimientos!$H$2:$H$1013&lt;&gt;""))=0,1,0))</f>
        <v/>
      </c>
      <c r="K315" s="7">
        <f>A315&amp;"|"&amp;B315</f>
        <v/>
      </c>
      <c r="L315" s="13" t="inlineStr">
        <is>
          <t>ACTIVIDAD COMPLETADA</t>
        </is>
      </c>
    </row>
    <row r="316">
      <c r="A316" s="7" t="inlineStr">
        <is>
          <t>sgc-2023-28</t>
        </is>
      </c>
      <c r="B316" s="7" t="n">
        <v>8</v>
      </c>
      <c r="C316" s="7" t="inlineStr">
        <is>
          <t>SGC</t>
        </is>
      </c>
      <c r="D316" s="7" t="inlineStr">
        <is>
          <t>2023</t>
        </is>
      </c>
      <c r="E316" s="7" t="n">
        <v>28</v>
      </c>
      <c r="F316" s="8" t="n">
        <v>46142</v>
      </c>
      <c r="G316" s="7" t="inlineStr">
        <is>
          <t>JOAN IMAYINNE GALVIS MORENO</t>
        </is>
      </c>
      <c r="H316" s="14" t="n">
        <v>2</v>
      </c>
      <c r="I316" s="15">
        <f>IF(H316="","",H316/2)</f>
        <v/>
      </c>
      <c r="J316" s="7">
        <f>IF(H316="",0,IF(SUMPRODUCT((Seguimientos!$A$2:$A$1013=A316)*(Seguimientos!$F$2:$F$1013=F316)*(Seguimientos!$B$2:$B$1013&gt;B316)*(Seguimientos!$H$2:$H$1013&lt;&gt;""))=0,1,0))</f>
        <v/>
      </c>
      <c r="K316" s="7">
        <f>A316&amp;"|"&amp;B316</f>
        <v/>
      </c>
      <c r="L316" s="13" t="inlineStr">
        <is>
          <t>ACTIVIDAD COMPLETADA</t>
        </is>
      </c>
    </row>
    <row r="317">
      <c r="A317" s="7" t="inlineStr">
        <is>
          <t>sgc-2023-28</t>
        </is>
      </c>
      <c r="B317" s="7" t="n">
        <v>9</v>
      </c>
      <c r="C317" s="7" t="inlineStr">
        <is>
          <t>SGC</t>
        </is>
      </c>
      <c r="D317" s="7" t="inlineStr">
        <is>
          <t>2023</t>
        </is>
      </c>
      <c r="E317" s="7" t="n">
        <v>28</v>
      </c>
      <c r="F317" s="8" t="n">
        <v>46203</v>
      </c>
      <c r="G317" s="7" t="inlineStr">
        <is>
          <t>JOAN IMAYINNE GALVIS MORENO</t>
        </is>
      </c>
      <c r="H317" s="14" t="n">
        <v>2</v>
      </c>
      <c r="I317" s="15">
        <f>IF(H317="","",H317/2)</f>
        <v/>
      </c>
      <c r="J317" s="7">
        <f>IF(H317="",0,IF(SUMPRODUCT((Seguimientos!$A$2:$A$1013=A317)*(Seguimientos!$F$2:$F$1013=F317)*(Seguimientos!$B$2:$B$1013&gt;B317)*(Seguimientos!$H$2:$H$1013&lt;&gt;""))=0,1,0))</f>
        <v/>
      </c>
      <c r="K317" s="7">
        <f>A317&amp;"|"&amp;B317</f>
        <v/>
      </c>
      <c r="L317" s="13" t="inlineStr">
        <is>
          <t>ACTIVIDAD COMPLETADA</t>
        </is>
      </c>
    </row>
    <row r="318">
      <c r="A318" s="7" t="inlineStr">
        <is>
          <t>sgc-2023-29</t>
        </is>
      </c>
      <c r="B318" s="7" t="n">
        <v>1</v>
      </c>
      <c r="C318" s="7" t="inlineStr">
        <is>
          <t>SGC</t>
        </is>
      </c>
      <c r="D318" s="7" t="inlineStr">
        <is>
          <t>2023</t>
        </is>
      </c>
      <c r="E318" s="7" t="n">
        <v>29</v>
      </c>
      <c r="F318" s="8" t="n">
        <v>45405</v>
      </c>
      <c r="G318" s="7" t="inlineStr">
        <is>
          <t>DANIEL EDUARDO SOTO BERNAL</t>
        </is>
      </c>
      <c r="H318" s="14" t="n">
        <v>0</v>
      </c>
      <c r="I318" s="15">
        <f>IF(H318="","",H318/2)</f>
        <v/>
      </c>
      <c r="J318" s="7">
        <f>IF(H318="",0,IF(SUMPRODUCT((Seguimientos!$A$2:$A$1013=A318)*(Seguimientos!$F$2:$F$1013=F318)*(Seguimientos!$B$2:$B$1013&gt;B318)*(Seguimientos!$H$2:$H$1013&lt;&gt;""))=0,1,0))</f>
        <v/>
      </c>
      <c r="K318" s="7">
        <f>A318&amp;"|"&amp;B318</f>
        <v/>
      </c>
      <c r="L318" s="13" t="inlineStr">
        <is>
          <t>Seguimiento se realizara en el mes de Junio de la vigencia 2024.</t>
        </is>
      </c>
    </row>
    <row r="319">
      <c r="A319" s="7" t="inlineStr">
        <is>
          <t>sgc-2023-29</t>
        </is>
      </c>
      <c r="B319" s="7" t="n">
        <v>2</v>
      </c>
      <c r="C319" s="7" t="inlineStr">
        <is>
          <t>SGC</t>
        </is>
      </c>
      <c r="D319" s="7" t="inlineStr">
        <is>
          <t>2023</t>
        </is>
      </c>
      <c r="E319" s="7" t="n">
        <v>29</v>
      </c>
      <c r="F319" s="8" t="n">
        <v>45497</v>
      </c>
      <c r="G319" s="7" t="inlineStr">
        <is>
          <t>DANIEL EDUARDO SOTO BERNAL</t>
        </is>
      </c>
      <c r="H319" s="14" t="n">
        <v>2</v>
      </c>
      <c r="I319" s="15">
        <f>IF(H319="","",H319/2)</f>
        <v/>
      </c>
      <c r="J319" s="7">
        <f>IF(H319="",0,IF(SUMPRODUCT((Seguimientos!$A$2:$A$1013=A319)*(Seguimientos!$F$2:$F$1013=F319)*(Seguimientos!$B$2:$B$1013&gt;B319)*(Seguimientos!$H$2:$H$1013&lt;&gt;""))=0,1,0))</f>
        <v/>
      </c>
      <c r="K319" s="7">
        <f>A319&amp;"|"&amp;B319</f>
        <v/>
      </c>
      <c r="L319" s="13" t="inlineStr">
        <is>
          <t>El Plan Estratégico de Tecnologías de la Información (PETI) de la Universidad de Cundinamarca tiene como objetivo gestionar los recursos de tecnología de la información como un factor estratégico que genere valor para la institución. Es por ello, que el PETI se encuentra alineado con las bases del Plan Nacional de Desarrollo 2022-2026, "Colombia potencia mundial de la vida", que enfatiza la democratización de las Tecnologías de la Información y las Comunicaciones (TIC) y la generación de oportunidades a través de la tecnología, además, se integra con las metas institucionales y responde a las demandas cambiantes del entorno digital alineados con el Plan Rectoral 2023-2027, "Campo Multidimensional de Aprendizaje (CMA) de Alta Calidad Translocal, más allá de la universidad tradicional". Se realiza el cargue de informe de consolidados y avances del Plan Estratégico de Tecnologías de la Información.</t>
        </is>
      </c>
    </row>
    <row r="320">
      <c r="A320" s="7" t="inlineStr">
        <is>
          <t>sgc-2023-29</t>
        </is>
      </c>
      <c r="B320" s="7" t="n">
        <v>3</v>
      </c>
      <c r="C320" s="7" t="inlineStr">
        <is>
          <t>SGC</t>
        </is>
      </c>
      <c r="D320" s="7" t="inlineStr">
        <is>
          <t>2023</t>
        </is>
      </c>
      <c r="E320" s="7" t="n">
        <v>29</v>
      </c>
      <c r="F320" s="8" t="n">
        <v>45583</v>
      </c>
      <c r="G320" s="7" t="inlineStr">
        <is>
          <t>DANIEL EDUARDO SOTO BERNAL</t>
        </is>
      </c>
      <c r="H320" s="14" t="n">
        <v>1</v>
      </c>
      <c r="I320" s="15">
        <f>IF(H320="","",H320/2)</f>
        <v/>
      </c>
      <c r="J320" s="7">
        <f>IF(H320="",0,IF(SUMPRODUCT((Seguimientos!$A$2:$A$1013=A320)*(Seguimientos!$F$2:$F$1013=F320)*(Seguimientos!$B$2:$B$1013&gt;B320)*(Seguimientos!$H$2:$H$1013&lt;&gt;""))=0,1,0))</f>
        <v/>
      </c>
      <c r="K320" s="7">
        <f>A320&amp;"|"&amp;B320</f>
        <v/>
      </c>
      <c r="L320" s="13" t="inlineStr">
        <is>
          <t>ACTIVIDAD COMPLETADA ACTIVIDAD SE DEVUELVE A 1 PARA REVISIÓN</t>
        </is>
      </c>
    </row>
    <row r="321">
      <c r="A321" s="7" t="inlineStr">
        <is>
          <t>sgc-2023-29</t>
        </is>
      </c>
      <c r="B321" s="7" t="n">
        <v>4</v>
      </c>
      <c r="C321" s="7" t="inlineStr">
        <is>
          <t>SGC</t>
        </is>
      </c>
      <c r="D321" s="7" t="inlineStr">
        <is>
          <t>2023</t>
        </is>
      </c>
      <c r="E321" s="7" t="n">
        <v>29</v>
      </c>
      <c r="F321" s="8" t="n">
        <v>45777</v>
      </c>
      <c r="G321" s="7" t="inlineStr">
        <is>
          <t>DANIEL EDUARDO SOTO BERNAL</t>
        </is>
      </c>
      <c r="H321" s="14" t="n">
        <v>1</v>
      </c>
      <c r="I321" s="15">
        <f>IF(H321="","",H321/2)</f>
        <v/>
      </c>
      <c r="J321" s="7">
        <f>IF(H321="",0,IF(SUMPRODUCT((Seguimientos!$A$2:$A$1013=A321)*(Seguimientos!$F$2:$F$1013=F321)*(Seguimientos!$B$2:$B$1013&gt;B321)*(Seguimientos!$H$2:$H$1013&lt;&gt;""))=0,1,0))</f>
        <v/>
      </c>
      <c r="K321" s="7">
        <f>A321&amp;"|"&amp;B321</f>
        <v/>
      </c>
      <c r="L321" s="13" t="inlineStr">
        <is>
          <t>ACTIVIDAD COMPLETADA ACTIVIDAD SE DEVUELVE A 1 PARA REVISIÓN</t>
        </is>
      </c>
    </row>
    <row r="322">
      <c r="A322" s="7" t="inlineStr">
        <is>
          <t>sgc-2023-29</t>
        </is>
      </c>
      <c r="B322" s="7" t="n">
        <v>5</v>
      </c>
      <c r="C322" s="7" t="inlineStr">
        <is>
          <t>SGC</t>
        </is>
      </c>
      <c r="D322" s="7" t="inlineStr">
        <is>
          <t>2023</t>
        </is>
      </c>
      <c r="E322" s="7" t="n">
        <v>29</v>
      </c>
      <c r="F322" s="8" t="n">
        <v>45838</v>
      </c>
      <c r="G322" s="7" t="inlineStr">
        <is>
          <t>DANIEL EDUARDO SOTO BERNAL</t>
        </is>
      </c>
      <c r="H322" s="14" t="n">
        <v>2</v>
      </c>
      <c r="I322" s="15">
        <f>IF(H322="","",H322/2)</f>
        <v/>
      </c>
      <c r="J322" s="7">
        <f>IF(H322="",0,IF(SUMPRODUCT((Seguimientos!$A$2:$A$1013=A322)*(Seguimientos!$F$2:$F$1013=F322)*(Seguimientos!$B$2:$B$1013&gt;B322)*(Seguimientos!$H$2:$H$1013&lt;&gt;""))=0,1,0))</f>
        <v/>
      </c>
      <c r="K322" s="7">
        <f>A322&amp;"|"&amp;B322</f>
        <v/>
      </c>
      <c r="L322" s="13" t="inlineStr">
        <is>
          <t>La Dirección de Sistemas y Tecnología culmino la construcción del Plan Estratégico de Tecnologías de la Información (PETI) para el período 2024-2027, y fue presentado ante la Comisión de Desempeño Institucional y aprobado por los miembros que la conforman. El PETI forma parte de los planes de acción institucional que las entidades deben formular, en el cual se debe especificar los objetivos, las estrategias, los proyectos, las metas, los responsables y los planes generales de compras y la distribución presupuestal de sus proyectos de inversión. Para la formulación del PETI se tuvo en cuenta lo dispuesto en el plan rectoral para las vigencias 2024 – 2027.</t>
        </is>
      </c>
    </row>
    <row r="323">
      <c r="A323" s="7" t="inlineStr">
        <is>
          <t>sgc-2023-29</t>
        </is>
      </c>
      <c r="B323" s="7" t="n">
        <v>6</v>
      </c>
      <c r="C323" s="7" t="inlineStr">
        <is>
          <t>SGC</t>
        </is>
      </c>
      <c r="D323" s="7" t="inlineStr">
        <is>
          <t>2023</t>
        </is>
      </c>
      <c r="E323" s="7" t="n">
        <v>29</v>
      </c>
      <c r="F323" s="8" t="n">
        <v>45930</v>
      </c>
      <c r="G323" s="7" t="inlineStr">
        <is>
          <t>JOAN IMAYINNE GALVIS MORENO</t>
        </is>
      </c>
      <c r="H323" s="14" t="n">
        <v>2</v>
      </c>
      <c r="I323" s="15">
        <f>IF(H323="","",H323/2)</f>
        <v/>
      </c>
      <c r="J323" s="7">
        <f>IF(H323="",0,IF(SUMPRODUCT((Seguimientos!$A$2:$A$1013=A323)*(Seguimientos!$F$2:$F$1013=F323)*(Seguimientos!$B$2:$B$1013&gt;B323)*(Seguimientos!$H$2:$H$1013&lt;&gt;""))=0,1,0))</f>
        <v/>
      </c>
      <c r="K323" s="7">
        <f>A323&amp;"|"&amp;B323</f>
        <v/>
      </c>
      <c r="L323" s="13" t="inlineStr">
        <is>
          <t>ACTIVIDAD COMPLETADA</t>
        </is>
      </c>
    </row>
    <row r="324">
      <c r="A324" s="7" t="inlineStr">
        <is>
          <t>sgc-2023-29</t>
        </is>
      </c>
      <c r="B324" s="7" t="n">
        <v>7</v>
      </c>
      <c r="C324" s="7" t="inlineStr">
        <is>
          <t>SGC</t>
        </is>
      </c>
      <c r="D324" s="7" t="inlineStr">
        <is>
          <t>2023</t>
        </is>
      </c>
      <c r="E324" s="7" t="n">
        <v>29</v>
      </c>
      <c r="F324" s="8" t="n">
        <v>46021</v>
      </c>
      <c r="G324" s="7" t="inlineStr">
        <is>
          <t>JOAN IMAYINNE GALVIS MORENO</t>
        </is>
      </c>
      <c r="H324" s="14" t="n">
        <v>2</v>
      </c>
      <c r="I324" s="15">
        <f>IF(H324="","",H324/2)</f>
        <v/>
      </c>
      <c r="J324" s="7">
        <f>IF(H324="",0,IF(SUMPRODUCT((Seguimientos!$A$2:$A$1013=A324)*(Seguimientos!$F$2:$F$1013=F324)*(Seguimientos!$B$2:$B$1013&gt;B324)*(Seguimientos!$H$2:$H$1013&lt;&gt;""))=0,1,0))</f>
        <v/>
      </c>
      <c r="K324" s="7">
        <f>A324&amp;"|"&amp;B324</f>
        <v/>
      </c>
      <c r="L324" s="13" t="inlineStr">
        <is>
          <t>ACTIVIDAD COMPLETADA</t>
        </is>
      </c>
    </row>
    <row r="325">
      <c r="A325" s="7" t="inlineStr">
        <is>
          <t>sgc-2023-29</t>
        </is>
      </c>
      <c r="B325" s="7" t="n">
        <v>8</v>
      </c>
      <c r="C325" s="7" t="inlineStr">
        <is>
          <t>SGC</t>
        </is>
      </c>
      <c r="D325" s="7" t="inlineStr">
        <is>
          <t>2023</t>
        </is>
      </c>
      <c r="E325" s="7" t="n">
        <v>29</v>
      </c>
      <c r="F325" s="8" t="n">
        <v>46142</v>
      </c>
      <c r="G325" s="7" t="inlineStr">
        <is>
          <t>JOAN IMAYINNE GALVIS MORENO</t>
        </is>
      </c>
      <c r="H325" s="14" t="n">
        <v>2</v>
      </c>
      <c r="I325" s="15">
        <f>IF(H325="","",H325/2)</f>
        <v/>
      </c>
      <c r="J325" s="7">
        <f>IF(H325="",0,IF(SUMPRODUCT((Seguimientos!$A$2:$A$1013=A325)*(Seguimientos!$F$2:$F$1013=F325)*(Seguimientos!$B$2:$B$1013&gt;B325)*(Seguimientos!$H$2:$H$1013&lt;&gt;""))=0,1,0))</f>
        <v/>
      </c>
      <c r="K325" s="7">
        <f>A325&amp;"|"&amp;B325</f>
        <v/>
      </c>
      <c r="L325" s="13" t="inlineStr">
        <is>
          <t>ACTIVIDAD COMPLETADA</t>
        </is>
      </c>
    </row>
    <row r="326">
      <c r="A326" s="7" t="inlineStr">
        <is>
          <t>sgc-2023-29</t>
        </is>
      </c>
      <c r="B326" s="7" t="n">
        <v>9</v>
      </c>
      <c r="C326" s="7" t="inlineStr">
        <is>
          <t>SGC</t>
        </is>
      </c>
      <c r="D326" s="7" t="inlineStr">
        <is>
          <t>2023</t>
        </is>
      </c>
      <c r="E326" s="7" t="n">
        <v>29</v>
      </c>
      <c r="F326" s="8" t="n">
        <v>46203</v>
      </c>
      <c r="G326" s="7" t="inlineStr">
        <is>
          <t>JOAN IMAYINNE GALVIS MORENO</t>
        </is>
      </c>
      <c r="H326" s="14" t="n">
        <v>2</v>
      </c>
      <c r="I326" s="15">
        <f>IF(H326="","",H326/2)</f>
        <v/>
      </c>
      <c r="J326" s="7">
        <f>IF(H326="",0,IF(SUMPRODUCT((Seguimientos!$A$2:$A$1013=A326)*(Seguimientos!$F$2:$F$1013=F326)*(Seguimientos!$B$2:$B$1013&gt;B326)*(Seguimientos!$H$2:$H$1013&lt;&gt;""))=0,1,0))</f>
        <v/>
      </c>
      <c r="K326" s="7">
        <f>A326&amp;"|"&amp;B326</f>
        <v/>
      </c>
      <c r="L326" s="13" t="inlineStr">
        <is>
          <t>ACTIVIDAD COMPLETADA</t>
        </is>
      </c>
    </row>
    <row r="327">
      <c r="A327" s="7" t="inlineStr">
        <is>
          <t>sgc-2023-30</t>
        </is>
      </c>
      <c r="B327" s="7" t="n">
        <v>1</v>
      </c>
      <c r="C327" s="7" t="inlineStr">
        <is>
          <t>SGC</t>
        </is>
      </c>
      <c r="D327" s="7" t="inlineStr">
        <is>
          <t>2023</t>
        </is>
      </c>
      <c r="E327" s="7" t="n">
        <v>30</v>
      </c>
      <c r="F327" s="8" t="n">
        <v>45405</v>
      </c>
      <c r="G327" s="7" t="inlineStr">
        <is>
          <t>DANIEL EDUARDO SOTO BERNAL</t>
        </is>
      </c>
      <c r="H327" s="14" t="n">
        <v>1</v>
      </c>
      <c r="I327" s="15">
        <f>IF(H327="","",H327/2)</f>
        <v/>
      </c>
      <c r="J327" s="7">
        <f>IF(H327="",0,IF(SUMPRODUCT((Seguimientos!$A$2:$A$1013=A327)*(Seguimientos!$F$2:$F$1013=F327)*(Seguimientos!$B$2:$B$1013&gt;B327)*(Seguimientos!$H$2:$H$1013&lt;&gt;""))=0,1,0))</f>
        <v/>
      </c>
      <c r="K327" s="7">
        <f>A327&amp;"|"&amp;B327</f>
        <v/>
      </c>
      <c r="L327" s="13" t="inlineStr">
        <is>
          <t>Una vez actualizado el directorio telefónicas de las sede, seccionales y extensiones se procederá a realizar la estrategia de cliente oculta ya que en esta época las líneas en su mayoría están fuera de servicio y en algunas unidades no se cuenta con este medio de comunicación de acuerdo a lo manifestado por los directores administrativos.</t>
        </is>
      </c>
    </row>
    <row r="328">
      <c r="A328" s="7" t="inlineStr">
        <is>
          <t>sgc-2023-30</t>
        </is>
      </c>
      <c r="B328" s="7" t="n">
        <v>2</v>
      </c>
      <c r="C328" s="7" t="inlineStr">
        <is>
          <t>SGC</t>
        </is>
      </c>
      <c r="D328" s="7" t="inlineStr">
        <is>
          <t>2023</t>
        </is>
      </c>
      <c r="E328" s="7" t="n">
        <v>30</v>
      </c>
      <c r="F328" s="8" t="n">
        <v>45497</v>
      </c>
      <c r="G328" s="7" t="inlineStr">
        <is>
          <t>DANIEL EDUARDO SOTO BERNAL</t>
        </is>
      </c>
      <c r="H328" s="14" t="n">
        <v>1</v>
      </c>
      <c r="I328" s="15">
        <f>IF(H328="","",H328/2)</f>
        <v/>
      </c>
      <c r="J328" s="7">
        <f>IF(H328="",0,IF(SUMPRODUCT((Seguimientos!$A$2:$A$1013=A328)*(Seguimientos!$F$2:$F$1013=F328)*(Seguimientos!$B$2:$B$1013&gt;B328)*(Seguimientos!$H$2:$H$1013&lt;&gt;""))=0,1,0))</f>
        <v/>
      </c>
      <c r="K328" s="7">
        <f>A328&amp;"|"&amp;B328</f>
        <v/>
      </c>
      <c r="L328" s="13" t="inlineStr">
        <is>
          <t>Actividad pendiente por cumplir, No soportan evidencia.</t>
        </is>
      </c>
    </row>
    <row r="329">
      <c r="A329" s="7" t="inlineStr">
        <is>
          <t>sgc-2023-30</t>
        </is>
      </c>
      <c r="B329" s="7" t="n">
        <v>3</v>
      </c>
      <c r="C329" s="7" t="inlineStr">
        <is>
          <t>SGC</t>
        </is>
      </c>
      <c r="D329" s="7" t="inlineStr">
        <is>
          <t>2023</t>
        </is>
      </c>
      <c r="E329" s="7" t="n">
        <v>30</v>
      </c>
      <c r="F329" s="8" t="n">
        <v>45583</v>
      </c>
      <c r="G329" s="7" t="inlineStr">
        <is>
          <t>DANIEL EDUARDO SOTO BERNAL</t>
        </is>
      </c>
      <c r="H329" s="14" t="n">
        <v>1</v>
      </c>
      <c r="I329" s="15">
        <f>IF(H329="","",H329/2)</f>
        <v/>
      </c>
      <c r="J329" s="7">
        <f>IF(H329="",0,IF(SUMPRODUCT((Seguimientos!$A$2:$A$1013=A329)*(Seguimientos!$F$2:$F$1013=F329)*(Seguimientos!$B$2:$B$1013&gt;B329)*(Seguimientos!$H$2:$H$1013&lt;&gt;""))=0,1,0))</f>
        <v/>
      </c>
      <c r="K329" s="7">
        <f>A329&amp;"|"&amp;B329</f>
        <v/>
      </c>
      <c r="L329" s="13" t="inlineStr">
        <is>
          <t>Actividad pendiente por cumplir, No soportan evidencia.</t>
        </is>
      </c>
    </row>
    <row r="330">
      <c r="A330" s="7" t="inlineStr">
        <is>
          <t>sgc-2023-30</t>
        </is>
      </c>
      <c r="B330" s="7" t="n">
        <v>4</v>
      </c>
      <c r="C330" s="7" t="inlineStr">
        <is>
          <t>SGC</t>
        </is>
      </c>
      <c r="D330" s="7" t="inlineStr">
        <is>
          <t>2023</t>
        </is>
      </c>
      <c r="E330" s="7" t="n">
        <v>30</v>
      </c>
      <c r="F330" s="8" t="n">
        <v>45777</v>
      </c>
      <c r="G330" s="7" t="inlineStr">
        <is>
          <t>DANIEL EDUARDO SOTO BERNAL</t>
        </is>
      </c>
      <c r="H330" s="14" t="n">
        <v>2</v>
      </c>
      <c r="I330" s="15">
        <f>IF(H330="","",H330/2)</f>
        <v/>
      </c>
      <c r="J330" s="7">
        <f>IF(H330="",0,IF(SUMPRODUCT((Seguimientos!$A$2:$A$1013=A330)*(Seguimientos!$F$2:$F$1013=F330)*(Seguimientos!$B$2:$B$1013&gt;B330)*(Seguimientos!$H$2:$H$1013&lt;&gt;""))=0,1,0))</f>
        <v/>
      </c>
      <c r="K330" s="7">
        <f>A330&amp;"|"&amp;B330</f>
        <v/>
      </c>
      <c r="L330" s="13" t="inlineStr">
        <is>
          <t>Se procedió con la sensibilización de los protocolos de atención telefónica en donde se identifico la forma correcta e incorrecta de una atención telefónica, el cual se realizo por medio de un video. https://www.youtube.com/watch?v=q0N-YRyzAXI. se anexa informe dando cierre a la oportunidad de mejora.</t>
        </is>
      </c>
    </row>
    <row r="331">
      <c r="A331" s="7" t="inlineStr">
        <is>
          <t>sgc-2023-30</t>
        </is>
      </c>
      <c r="B331" s="7" t="n">
        <v>5</v>
      </c>
      <c r="C331" s="7" t="inlineStr">
        <is>
          <t>SGC</t>
        </is>
      </c>
      <c r="D331" s="7" t="inlineStr">
        <is>
          <t>2023</t>
        </is>
      </c>
      <c r="E331" s="7" t="n">
        <v>30</v>
      </c>
      <c r="F331" s="8" t="n">
        <v>45838</v>
      </c>
      <c r="G331" s="7" t="inlineStr">
        <is>
          <t>DANIEL EDUARDO SOTO BERNAL</t>
        </is>
      </c>
      <c r="H331" s="14" t="n">
        <v>2</v>
      </c>
      <c r="I331" s="15">
        <f>IF(H331="","",H331/2)</f>
        <v/>
      </c>
      <c r="J331" s="7">
        <f>IF(H331="",0,IF(SUMPRODUCT((Seguimientos!$A$2:$A$1013=A331)*(Seguimientos!$F$2:$F$1013=F331)*(Seguimientos!$B$2:$B$1013&gt;B331)*(Seguimientos!$H$2:$H$1013&lt;&gt;""))=0,1,0))</f>
        <v/>
      </c>
      <c r="K331" s="7">
        <f>A331&amp;"|"&amp;B331</f>
        <v/>
      </c>
      <c r="L331" s="13" t="inlineStr">
        <is>
          <t>ACTIVIDAD COMPLETADA</t>
        </is>
      </c>
    </row>
    <row r="332">
      <c r="A332" s="7" t="inlineStr">
        <is>
          <t>sgc-2023-30</t>
        </is>
      </c>
      <c r="B332" s="7" t="n">
        <v>6</v>
      </c>
      <c r="C332" s="7" t="inlineStr">
        <is>
          <t>SGC</t>
        </is>
      </c>
      <c r="D332" s="7" t="inlineStr">
        <is>
          <t>2023</t>
        </is>
      </c>
      <c r="E332" s="7" t="n">
        <v>30</v>
      </c>
      <c r="F332" s="8" t="n">
        <v>45930</v>
      </c>
      <c r="G332" s="7" t="inlineStr">
        <is>
          <t>JOAN IMAYINNE GALVIS MORENO</t>
        </is>
      </c>
      <c r="H332" s="14" t="n">
        <v>2</v>
      </c>
      <c r="I332" s="15">
        <f>IF(H332="","",H332/2)</f>
        <v/>
      </c>
      <c r="J332" s="7">
        <f>IF(H332="",0,IF(SUMPRODUCT((Seguimientos!$A$2:$A$1013=A332)*(Seguimientos!$F$2:$F$1013=F332)*(Seguimientos!$B$2:$B$1013&gt;B332)*(Seguimientos!$H$2:$H$1013&lt;&gt;""))=0,1,0))</f>
        <v/>
      </c>
      <c r="K332" s="7">
        <f>A332&amp;"|"&amp;B332</f>
        <v/>
      </c>
      <c r="L332" s="13" t="inlineStr">
        <is>
          <t>ACTIVIDAD COMPLETADA</t>
        </is>
      </c>
    </row>
    <row r="333">
      <c r="A333" s="7" t="inlineStr">
        <is>
          <t>sgc-2023-30</t>
        </is>
      </c>
      <c r="B333" s="7" t="n">
        <v>7</v>
      </c>
      <c r="C333" s="7" t="inlineStr">
        <is>
          <t>SGC</t>
        </is>
      </c>
      <c r="D333" s="7" t="inlineStr">
        <is>
          <t>2023</t>
        </is>
      </c>
      <c r="E333" s="7" t="n">
        <v>30</v>
      </c>
      <c r="F333" s="8" t="n">
        <v>46021</v>
      </c>
      <c r="G333" s="7" t="inlineStr">
        <is>
          <t>JOAN IMAYINNE GALVIS MORENO</t>
        </is>
      </c>
      <c r="H333" s="14" t="n">
        <v>2</v>
      </c>
      <c r="I333" s="15">
        <f>IF(H333="","",H333/2)</f>
        <v/>
      </c>
      <c r="J333" s="7">
        <f>IF(H333="",0,IF(SUMPRODUCT((Seguimientos!$A$2:$A$1013=A333)*(Seguimientos!$F$2:$F$1013=F333)*(Seguimientos!$B$2:$B$1013&gt;B333)*(Seguimientos!$H$2:$H$1013&lt;&gt;""))=0,1,0))</f>
        <v/>
      </c>
      <c r="K333" s="7">
        <f>A333&amp;"|"&amp;B333</f>
        <v/>
      </c>
      <c r="L333" s="13" t="inlineStr">
        <is>
          <t>ACTIVIDAD COMPLETADA</t>
        </is>
      </c>
    </row>
    <row r="334">
      <c r="A334" s="7" t="inlineStr">
        <is>
          <t>sgc-2023-30</t>
        </is>
      </c>
      <c r="B334" s="7" t="n">
        <v>8</v>
      </c>
      <c r="C334" s="7" t="inlineStr">
        <is>
          <t>SGC</t>
        </is>
      </c>
      <c r="D334" s="7" t="inlineStr">
        <is>
          <t>2023</t>
        </is>
      </c>
      <c r="E334" s="7" t="n">
        <v>30</v>
      </c>
      <c r="F334" s="8" t="n">
        <v>46142</v>
      </c>
      <c r="G334" s="7" t="inlineStr">
        <is>
          <t>JOAN IMAYINNE GALVIS MORENO</t>
        </is>
      </c>
      <c r="H334" s="14" t="n">
        <v>2</v>
      </c>
      <c r="I334" s="15">
        <f>IF(H334="","",H334/2)</f>
        <v/>
      </c>
      <c r="J334" s="7">
        <f>IF(H334="",0,IF(SUMPRODUCT((Seguimientos!$A$2:$A$1013=A334)*(Seguimientos!$F$2:$F$1013=F334)*(Seguimientos!$B$2:$B$1013&gt;B334)*(Seguimientos!$H$2:$H$1013&lt;&gt;""))=0,1,0))</f>
        <v/>
      </c>
      <c r="K334" s="7">
        <f>A334&amp;"|"&amp;B334</f>
        <v/>
      </c>
      <c r="L334" s="13" t="inlineStr">
        <is>
          <t>ACTIVIDAD COMPLETADA</t>
        </is>
      </c>
    </row>
    <row r="335">
      <c r="A335" s="7" t="inlineStr">
        <is>
          <t>sgc-2023-30</t>
        </is>
      </c>
      <c r="B335" s="7" t="n">
        <v>9</v>
      </c>
      <c r="C335" s="7" t="inlineStr">
        <is>
          <t>SGC</t>
        </is>
      </c>
      <c r="D335" s="7" t="inlineStr">
        <is>
          <t>2023</t>
        </is>
      </c>
      <c r="E335" s="7" t="n">
        <v>30</v>
      </c>
      <c r="F335" s="8" t="n">
        <v>46203</v>
      </c>
      <c r="G335" s="7" t="inlineStr">
        <is>
          <t>JOAN IMAYINNE GALVIS MORENO</t>
        </is>
      </c>
      <c r="H335" s="14" t="n">
        <v>2</v>
      </c>
      <c r="I335" s="15">
        <f>IF(H335="","",H335/2)</f>
        <v/>
      </c>
      <c r="J335" s="7">
        <f>IF(H335="",0,IF(SUMPRODUCT((Seguimientos!$A$2:$A$1013=A335)*(Seguimientos!$F$2:$F$1013=F335)*(Seguimientos!$B$2:$B$1013&gt;B335)*(Seguimientos!$H$2:$H$1013&lt;&gt;""))=0,1,0))</f>
        <v/>
      </c>
      <c r="K335" s="7">
        <f>A335&amp;"|"&amp;B335</f>
        <v/>
      </c>
      <c r="L335" s="13" t="inlineStr">
        <is>
          <t>ACTIVIDAD COMPLETADA</t>
        </is>
      </c>
    </row>
    <row r="336">
      <c r="A336" s="7" t="inlineStr">
        <is>
          <t>sgc-2023-31</t>
        </is>
      </c>
      <c r="B336" s="7" t="n">
        <v>1</v>
      </c>
      <c r="C336" s="7" t="inlineStr">
        <is>
          <t>SGC</t>
        </is>
      </c>
      <c r="D336" s="7" t="inlineStr">
        <is>
          <t>2023</t>
        </is>
      </c>
      <c r="E336" s="7" t="n">
        <v>31</v>
      </c>
      <c r="F336" s="8" t="n">
        <v>45405</v>
      </c>
      <c r="G336" s="7" t="inlineStr">
        <is>
          <t>DANIEL EDUARDO SOTO BERNAL</t>
        </is>
      </c>
      <c r="H336" s="14" t="n">
        <v>0</v>
      </c>
      <c r="I336" s="15">
        <f>IF(H336="","",H336/2)</f>
        <v/>
      </c>
      <c r="J336" s="7">
        <f>IF(H336="",0,IF(SUMPRODUCT((Seguimientos!$A$2:$A$1013=A336)*(Seguimientos!$F$2:$F$1013=F336)*(Seguimientos!$B$2:$B$1013&gt;B336)*(Seguimientos!$H$2:$H$1013&lt;&gt;""))=0,1,0))</f>
        <v/>
      </c>
      <c r="K336" s="7">
        <f>A336&amp;"|"&amp;B336</f>
        <v/>
      </c>
      <c r="L336" s="13" t="inlineStr">
        <is>
          <t>A la fecha se modifico el procedimiento de gestión de riesgos incluyendo la metodología del DAFP sobre gestión de riesgos fiscales. Adicional se trabajo la matriz de riesgos fiscales con el proceso financiero, pendiente validación por el área,</t>
        </is>
      </c>
    </row>
    <row r="337">
      <c r="A337" s="7" t="inlineStr">
        <is>
          <t>sgc-2023-31</t>
        </is>
      </c>
      <c r="B337" s="7" t="n">
        <v>2</v>
      </c>
      <c r="C337" s="7" t="inlineStr">
        <is>
          <t>SGC</t>
        </is>
      </c>
      <c r="D337" s="7" t="inlineStr">
        <is>
          <t>2023</t>
        </is>
      </c>
      <c r="E337" s="7" t="n">
        <v>31</v>
      </c>
      <c r="F337" s="8" t="n">
        <v>45497</v>
      </c>
      <c r="G337" s="7" t="inlineStr">
        <is>
          <t>DANIEL EDUARDO SOTO BERNAL</t>
        </is>
      </c>
      <c r="H337" s="14" t="n">
        <v>1</v>
      </c>
      <c r="I337" s="15">
        <f>IF(H337="","",H337/2)</f>
        <v/>
      </c>
      <c r="J337" s="7">
        <f>IF(H337="",0,IF(SUMPRODUCT((Seguimientos!$A$2:$A$1013=A337)*(Seguimientos!$F$2:$F$1013=F337)*(Seguimientos!$B$2:$B$1013&gt;B337)*(Seguimientos!$H$2:$H$1013&lt;&gt;""))=0,1,0))</f>
        <v/>
      </c>
      <c r="K337" s="7">
        <f>A337&amp;"|"&amp;B337</f>
        <v/>
      </c>
      <c r="L337" s="13" t="inlineStr">
        <is>
          <t>Se desarrolla equipo interdisciplinario a través de la comisión de control interno (Ver actas) se ha desarrollado matrices de riesgos fiscal preliminares en el área financiera.</t>
        </is>
      </c>
    </row>
    <row r="338">
      <c r="A338" s="7" t="inlineStr">
        <is>
          <t>sgc-2023-31</t>
        </is>
      </c>
      <c r="B338" s="7" t="n">
        <v>3</v>
      </c>
      <c r="C338" s="7" t="inlineStr">
        <is>
          <t>SGC</t>
        </is>
      </c>
      <c r="D338" s="7" t="inlineStr">
        <is>
          <t>2023</t>
        </is>
      </c>
      <c r="E338" s="7" t="n">
        <v>31</v>
      </c>
      <c r="F338" s="8" t="n">
        <v>45583</v>
      </c>
      <c r="G338" s="7" t="inlineStr">
        <is>
          <t>DANIEL EDUARDO SOTO BERNAL</t>
        </is>
      </c>
      <c r="H338" s="14" t="n">
        <v>1</v>
      </c>
      <c r="I338" s="15">
        <f>IF(H338="","",H338/2)</f>
        <v/>
      </c>
      <c r="J338" s="7">
        <f>IF(H338="",0,IF(SUMPRODUCT((Seguimientos!$A$2:$A$1013=A338)*(Seguimientos!$F$2:$F$1013=F338)*(Seguimientos!$B$2:$B$1013&gt;B338)*(Seguimientos!$H$2:$H$1013&lt;&gt;""))=0,1,0))</f>
        <v/>
      </c>
      <c r="K338" s="7">
        <f>A338&amp;"|"&amp;B338</f>
        <v/>
      </c>
      <c r="L338" s="13" t="inlineStr">
        <is>
          <t>Actividad que tiene como objetivo complementarse en la vigencia 2025, por lo tanto para este corte a 30 de septiembre no presenta avance.</t>
        </is>
      </c>
    </row>
    <row r="339">
      <c r="A339" s="7" t="inlineStr">
        <is>
          <t>sgc-2023-31</t>
        </is>
      </c>
      <c r="B339" s="7" t="n">
        <v>4</v>
      </c>
      <c r="C339" s="7" t="inlineStr">
        <is>
          <t>SGC</t>
        </is>
      </c>
      <c r="D339" s="7" t="inlineStr">
        <is>
          <t>2023</t>
        </is>
      </c>
      <c r="E339" s="7" t="n">
        <v>31</v>
      </c>
      <c r="F339" s="8" t="n">
        <v>45777</v>
      </c>
      <c r="G339" s="7" t="inlineStr">
        <is>
          <t>DANIEL EDUARDO SOTO BERNAL</t>
        </is>
      </c>
      <c r="H339" s="14" t="n">
        <v>1</v>
      </c>
      <c r="I339" s="15">
        <f>IF(H339="","",H339/2)</f>
        <v/>
      </c>
      <c r="J339" s="7">
        <f>IF(H339="",0,IF(SUMPRODUCT((Seguimientos!$A$2:$A$1013=A339)*(Seguimientos!$F$2:$F$1013=F339)*(Seguimientos!$B$2:$B$1013&gt;B339)*(Seguimientos!$H$2:$H$1013&lt;&gt;""))=0,1,0))</f>
        <v/>
      </c>
      <c r="K339" s="7">
        <f>A339&amp;"|"&amp;B339</f>
        <v/>
      </c>
      <c r="L339" s="13" t="inlineStr">
        <is>
          <t>A a fecha se encuentra en proceso de contratacion del profesional de riesgos que dara estructura a los riesgos fiscales. Lo anterior se evidencia en el Acta de Control Interno del mes de abril 2025,</t>
        </is>
      </c>
    </row>
    <row r="340">
      <c r="A340" s="7" t="inlineStr">
        <is>
          <t>sgc-2023-31</t>
        </is>
      </c>
      <c r="B340" s="7" t="n">
        <v>5</v>
      </c>
      <c r="C340" s="7" t="inlineStr">
        <is>
          <t>SGC</t>
        </is>
      </c>
      <c r="D340" s="7" t="inlineStr">
        <is>
          <t>2023</t>
        </is>
      </c>
      <c r="E340" s="7" t="n">
        <v>31</v>
      </c>
      <c r="F340" s="8" t="n">
        <v>45838</v>
      </c>
      <c r="G340" s="7" t="inlineStr">
        <is>
          <t>DANIEL EDUARDO SOTO BERNAL</t>
        </is>
      </c>
      <c r="H340" s="14" t="n">
        <v>1</v>
      </c>
      <c r="I340" s="15">
        <f>IF(H340="","",H340/2)</f>
        <v/>
      </c>
      <c r="J340" s="7">
        <f>IF(H340="",0,IF(SUMPRODUCT((Seguimientos!$A$2:$A$1013=A340)*(Seguimientos!$F$2:$F$1013=F340)*(Seguimientos!$B$2:$B$1013&gt;B340)*(Seguimientos!$H$2:$H$1013&lt;&gt;""))=0,1,0))</f>
        <v/>
      </c>
      <c r="K340" s="7">
        <f>A340&amp;"|"&amp;B340</f>
        <v/>
      </c>
      <c r="L340" s="13" t="inlineStr">
        <is>
          <t>A la fecha esta en proceso de conformación del equipo Interdisciplinario. Actividad en curso.</t>
        </is>
      </c>
    </row>
    <row r="341">
      <c r="A341" s="7" t="inlineStr">
        <is>
          <t>sgc-2023-31</t>
        </is>
      </c>
      <c r="B341" s="7" t="n">
        <v>6</v>
      </c>
      <c r="C341" s="7" t="inlineStr">
        <is>
          <t>SGC</t>
        </is>
      </c>
      <c r="D341" s="7" t="inlineStr">
        <is>
          <t>2023</t>
        </is>
      </c>
      <c r="E341" s="7" t="n">
        <v>31</v>
      </c>
      <c r="F341" s="8" t="n">
        <v>45930</v>
      </c>
      <c r="G341" s="7" t="inlineStr">
        <is>
          <t>JOAN IMAYINNE GALVIS MORENO</t>
        </is>
      </c>
      <c r="H341" s="14" t="n">
        <v>1</v>
      </c>
      <c r="I341" s="15">
        <f>IF(H341="","",H341/2)</f>
        <v/>
      </c>
      <c r="J341" s="7">
        <f>IF(H341="",0,IF(SUMPRODUCT((Seguimientos!$A$2:$A$1013=A341)*(Seguimientos!$F$2:$F$1013=F341)*(Seguimientos!$B$2:$B$1013&gt;B341)*(Seguimientos!$H$2:$H$1013&lt;&gt;""))=0,1,0))</f>
        <v/>
      </c>
      <c r="K341" s="7">
        <f>A341&amp;"|"&amp;B341</f>
        <v/>
      </c>
      <c r="L341" s="13" t="inlineStr"/>
    </row>
    <row r="342">
      <c r="A342" s="7" t="inlineStr">
        <is>
          <t>sgc-2023-31</t>
        </is>
      </c>
      <c r="B342" s="7" t="n">
        <v>7</v>
      </c>
      <c r="C342" s="7" t="inlineStr">
        <is>
          <t>SGC</t>
        </is>
      </c>
      <c r="D342" s="7" t="inlineStr">
        <is>
          <t>2023</t>
        </is>
      </c>
      <c r="E342" s="7" t="n">
        <v>31</v>
      </c>
      <c r="F342" s="8" t="n">
        <v>46021</v>
      </c>
      <c r="G342" s="7" t="inlineStr">
        <is>
          <t>JOAN IMAYINNE GALVIS MORENO</t>
        </is>
      </c>
      <c r="H342" s="14" t="n">
        <v>1</v>
      </c>
      <c r="I342" s="15">
        <f>IF(H342="","",H342/2)</f>
        <v/>
      </c>
      <c r="J342" s="7">
        <f>IF(H342="",0,IF(SUMPRODUCT((Seguimientos!$A$2:$A$1013=A342)*(Seguimientos!$F$2:$F$1013=F342)*(Seguimientos!$B$2:$B$1013&gt;B342)*(Seguimientos!$H$2:$H$1013&lt;&gt;""))=0,1,0))</f>
        <v/>
      </c>
      <c r="K342" s="7">
        <f>A342&amp;"|"&amp;B342</f>
        <v/>
      </c>
      <c r="L342" s="13" t="inlineStr">
        <is>
          <t>Actividad pendiente por cumplir, No soportan evidencia.</t>
        </is>
      </c>
    </row>
    <row r="343">
      <c r="A343" s="7" t="inlineStr">
        <is>
          <t>sgc-2023-31</t>
        </is>
      </c>
      <c r="B343" s="7" t="n">
        <v>8</v>
      </c>
      <c r="C343" s="7" t="inlineStr">
        <is>
          <t>SGC</t>
        </is>
      </c>
      <c r="D343" s="7" t="inlineStr">
        <is>
          <t>2023</t>
        </is>
      </c>
      <c r="E343" s="7" t="n">
        <v>31</v>
      </c>
      <c r="F343" s="8" t="n">
        <v>46142</v>
      </c>
      <c r="G343" s="7" t="inlineStr">
        <is>
          <t>JOAN IMAYINNE GALVIS MORENO</t>
        </is>
      </c>
      <c r="H343" s="14" t="n">
        <v>2</v>
      </c>
      <c r="I343" s="15">
        <f>IF(H343="","",H343/2)</f>
        <v/>
      </c>
      <c r="J343" s="7">
        <f>IF(H343="",0,IF(SUMPRODUCT((Seguimientos!$A$2:$A$1013=A343)*(Seguimientos!$F$2:$F$1013=F343)*(Seguimientos!$B$2:$B$1013&gt;B343)*(Seguimientos!$H$2:$H$1013&lt;&gt;""))=0,1,0))</f>
        <v/>
      </c>
      <c r="K343" s="7">
        <f>A343&amp;"|"&amp;B343</f>
        <v/>
      </c>
      <c r="L343" s="13" t="inlineStr">
        <is>
          <t>La tarea se cumple, toda vez que la Oficina de Calidad se tomó a cargo la elaboración de las matrices de riesgos fiscales, en donde se evidencia la contratación de una persona capacitada para el desarrollo de esta función.</t>
        </is>
      </c>
    </row>
    <row r="344">
      <c r="A344" s="7" t="inlineStr">
        <is>
          <t>sgc-2023-31</t>
        </is>
      </c>
      <c r="B344" s="7" t="n">
        <v>9</v>
      </c>
      <c r="C344" s="7" t="inlineStr">
        <is>
          <t>SGC</t>
        </is>
      </c>
      <c r="D344" s="7" t="inlineStr">
        <is>
          <t>2023</t>
        </is>
      </c>
      <c r="E344" s="7" t="n">
        <v>31</v>
      </c>
      <c r="F344" s="8" t="n">
        <v>46203</v>
      </c>
      <c r="G344" s="7" t="inlineStr">
        <is>
          <t>JOAN IMAYINNE GALVIS MORENO</t>
        </is>
      </c>
      <c r="H344" s="14" t="n">
        <v>2</v>
      </c>
      <c r="I344" s="15">
        <f>IF(H344="","",H344/2)</f>
        <v/>
      </c>
      <c r="J344" s="7">
        <f>IF(H344="",0,IF(SUMPRODUCT((Seguimientos!$A$2:$A$1013=A344)*(Seguimientos!$F$2:$F$1013=F344)*(Seguimientos!$B$2:$B$1013&gt;B344)*(Seguimientos!$H$2:$H$1013&lt;&gt;""))=0,1,0))</f>
        <v/>
      </c>
      <c r="K344" s="7">
        <f>A344&amp;"|"&amp;B344</f>
        <v/>
      </c>
      <c r="L344" s="13" t="inlineStr">
        <is>
          <t>ACTIVIDAD COMPLETADA</t>
        </is>
      </c>
    </row>
    <row r="345">
      <c r="A345" s="7" t="inlineStr">
        <is>
          <t>sgc-2023-32</t>
        </is>
      </c>
      <c r="B345" s="7" t="n">
        <v>1</v>
      </c>
      <c r="C345" s="7" t="inlineStr">
        <is>
          <t>SGC</t>
        </is>
      </c>
      <c r="D345" s="7" t="inlineStr">
        <is>
          <t>2023</t>
        </is>
      </c>
      <c r="E345" s="7" t="n">
        <v>32</v>
      </c>
      <c r="F345" s="8" t="n">
        <v>45405</v>
      </c>
      <c r="G345" s="7" t="inlineStr">
        <is>
          <t>DANIEL EDUARDO SOTO BERNAL</t>
        </is>
      </c>
      <c r="H345" s="14" t="n">
        <v>2</v>
      </c>
      <c r="I345" s="15">
        <f>IF(H345="","",H345/2)</f>
        <v/>
      </c>
      <c r="J345" s="7">
        <f>IF(H345="",0,IF(SUMPRODUCT((Seguimientos!$A$2:$A$1013=A345)*(Seguimientos!$F$2:$F$1013=F345)*(Seguimientos!$B$2:$B$1013&gt;B345)*(Seguimientos!$H$2:$H$1013&lt;&gt;""))=0,1,0))</f>
        <v/>
      </c>
      <c r="K345" s="7">
        <f>A345&amp;"|"&amp;B345</f>
        <v/>
      </c>
      <c r="L345" s="13" t="inlineStr">
        <is>
          <t>La oficina de Archivo y Correspondencia en el mes de Febrero realizo la Socialización del proceso de Gestión Documental al personal Administrativo de la Sede Seccionales y Extensiones de la Universidad de Cundinamarca, de acuerdo al cronograma establecido.</t>
        </is>
      </c>
    </row>
    <row r="346">
      <c r="A346" s="7" t="inlineStr">
        <is>
          <t>sgc-2023-32</t>
        </is>
      </c>
      <c r="B346" s="7" t="n">
        <v>2</v>
      </c>
      <c r="C346" s="7" t="inlineStr">
        <is>
          <t>SGC</t>
        </is>
      </c>
      <c r="D346" s="7" t="inlineStr">
        <is>
          <t>2023</t>
        </is>
      </c>
      <c r="E346" s="7" t="n">
        <v>32</v>
      </c>
      <c r="F346" s="8" t="n">
        <v>45497</v>
      </c>
      <c r="G346" s="7" t="inlineStr">
        <is>
          <t>DANIEL EDUARDO SOTO BERNAL</t>
        </is>
      </c>
      <c r="H346" s="14" t="n">
        <v>2</v>
      </c>
      <c r="I346" s="15">
        <f>IF(H346="","",H346/2)</f>
        <v/>
      </c>
      <c r="J346" s="7">
        <f>IF(H346="",0,IF(SUMPRODUCT((Seguimientos!$A$2:$A$1013=A346)*(Seguimientos!$F$2:$F$1013=F346)*(Seguimientos!$B$2:$B$1013&gt;B346)*(Seguimientos!$H$2:$H$1013&lt;&gt;""))=0,1,0))</f>
        <v/>
      </c>
      <c r="K346" s="7">
        <f>A346&amp;"|"&amp;B346</f>
        <v/>
      </c>
      <c r="L346" s="13" t="inlineStr">
        <is>
          <t>ACTIVIDAD COMPLETADA</t>
        </is>
      </c>
    </row>
    <row r="347">
      <c r="A347" s="7" t="inlineStr">
        <is>
          <t>sgc-2023-32</t>
        </is>
      </c>
      <c r="B347" s="7" t="n">
        <v>3</v>
      </c>
      <c r="C347" s="7" t="inlineStr">
        <is>
          <t>SGC</t>
        </is>
      </c>
      <c r="D347" s="7" t="inlineStr">
        <is>
          <t>2023</t>
        </is>
      </c>
      <c r="E347" s="7" t="n">
        <v>32</v>
      </c>
      <c r="F347" s="8" t="n">
        <v>45583</v>
      </c>
      <c r="G347" s="7" t="inlineStr">
        <is>
          <t>DANIEL EDUARDO SOTO BERNAL</t>
        </is>
      </c>
      <c r="H347" s="14" t="n">
        <v>2</v>
      </c>
      <c r="I347" s="15">
        <f>IF(H347="","",H347/2)</f>
        <v/>
      </c>
      <c r="J347" s="7">
        <f>IF(H347="",0,IF(SUMPRODUCT((Seguimientos!$A$2:$A$1013=A347)*(Seguimientos!$F$2:$F$1013=F347)*(Seguimientos!$B$2:$B$1013&gt;B347)*(Seguimientos!$H$2:$H$1013&lt;&gt;""))=0,1,0))</f>
        <v/>
      </c>
      <c r="K347" s="7">
        <f>A347&amp;"|"&amp;B347</f>
        <v/>
      </c>
      <c r="L347" s="13" t="inlineStr">
        <is>
          <t>ACTIVIDAD COMPLETADA</t>
        </is>
      </c>
    </row>
    <row r="348">
      <c r="A348" s="7" t="inlineStr">
        <is>
          <t>sgc-2023-32</t>
        </is>
      </c>
      <c r="B348" s="7" t="n">
        <v>4</v>
      </c>
      <c r="C348" s="7" t="inlineStr">
        <is>
          <t>SGC</t>
        </is>
      </c>
      <c r="D348" s="7" t="inlineStr">
        <is>
          <t>2023</t>
        </is>
      </c>
      <c r="E348" s="7" t="n">
        <v>32</v>
      </c>
      <c r="F348" s="8" t="n">
        <v>45777</v>
      </c>
      <c r="G348" s="7" t="inlineStr">
        <is>
          <t>DANIEL EDUARDO SOTO BERNAL</t>
        </is>
      </c>
      <c r="H348" s="14" t="n">
        <v>2</v>
      </c>
      <c r="I348" s="15">
        <f>IF(H348="","",H348/2)</f>
        <v/>
      </c>
      <c r="J348" s="7">
        <f>IF(H348="",0,IF(SUMPRODUCT((Seguimientos!$A$2:$A$1013=A348)*(Seguimientos!$F$2:$F$1013=F348)*(Seguimientos!$B$2:$B$1013&gt;B348)*(Seguimientos!$H$2:$H$1013&lt;&gt;""))=0,1,0))</f>
        <v/>
      </c>
      <c r="K348" s="7">
        <f>A348&amp;"|"&amp;B348</f>
        <v/>
      </c>
      <c r="L348" s="13" t="inlineStr">
        <is>
          <t>ACTIVIDAD COMPLETADA</t>
        </is>
      </c>
    </row>
    <row r="349">
      <c r="A349" s="7" t="inlineStr">
        <is>
          <t>sgc-2023-32</t>
        </is>
      </c>
      <c r="B349" s="7" t="n">
        <v>5</v>
      </c>
      <c r="C349" s="7" t="inlineStr">
        <is>
          <t>SGC</t>
        </is>
      </c>
      <c r="D349" s="7" t="inlineStr">
        <is>
          <t>2023</t>
        </is>
      </c>
      <c r="E349" s="7" t="n">
        <v>32</v>
      </c>
      <c r="F349" s="8" t="n">
        <v>45838</v>
      </c>
      <c r="G349" s="7" t="inlineStr">
        <is>
          <t>DANIEL EDUARDO SOTO BERNAL</t>
        </is>
      </c>
      <c r="H349" s="14" t="n">
        <v>2</v>
      </c>
      <c r="I349" s="15">
        <f>IF(H349="","",H349/2)</f>
        <v/>
      </c>
      <c r="J349" s="7">
        <f>IF(H349="",0,IF(SUMPRODUCT((Seguimientos!$A$2:$A$1013=A349)*(Seguimientos!$F$2:$F$1013=F349)*(Seguimientos!$B$2:$B$1013&gt;B349)*(Seguimientos!$H$2:$H$1013&lt;&gt;""))=0,1,0))</f>
        <v/>
      </c>
      <c r="K349" s="7">
        <f>A349&amp;"|"&amp;B349</f>
        <v/>
      </c>
      <c r="L349" s="13" t="inlineStr">
        <is>
          <t>ACTIVIDAD COMPLETADA</t>
        </is>
      </c>
    </row>
    <row r="350">
      <c r="A350" s="7" t="inlineStr">
        <is>
          <t>sgc-2023-32</t>
        </is>
      </c>
      <c r="B350" s="7" t="n">
        <v>6</v>
      </c>
      <c r="C350" s="7" t="inlineStr">
        <is>
          <t>SGC</t>
        </is>
      </c>
      <c r="D350" s="7" t="inlineStr">
        <is>
          <t>2023</t>
        </is>
      </c>
      <c r="E350" s="7" t="n">
        <v>32</v>
      </c>
      <c r="F350" s="8" t="n">
        <v>45930</v>
      </c>
      <c r="G350" s="7" t="inlineStr">
        <is>
          <t>JOAN IMAYINNE GALVIS MORENO</t>
        </is>
      </c>
      <c r="H350" s="14" t="n">
        <v>2</v>
      </c>
      <c r="I350" s="15">
        <f>IF(H350="","",H350/2)</f>
        <v/>
      </c>
      <c r="J350" s="7">
        <f>IF(H350="",0,IF(SUMPRODUCT((Seguimientos!$A$2:$A$1013=A350)*(Seguimientos!$F$2:$F$1013=F350)*(Seguimientos!$B$2:$B$1013&gt;B350)*(Seguimientos!$H$2:$H$1013&lt;&gt;""))=0,1,0))</f>
        <v/>
      </c>
      <c r="K350" s="7">
        <f>A350&amp;"|"&amp;B350</f>
        <v/>
      </c>
      <c r="L350" s="13" t="inlineStr">
        <is>
          <t>ACTIVIDAD COMPLETADA</t>
        </is>
      </c>
    </row>
    <row r="351">
      <c r="A351" s="7" t="inlineStr">
        <is>
          <t>sgc-2023-32</t>
        </is>
      </c>
      <c r="B351" s="7" t="n">
        <v>7</v>
      </c>
      <c r="C351" s="7" t="inlineStr">
        <is>
          <t>SGC</t>
        </is>
      </c>
      <c r="D351" s="7" t="inlineStr">
        <is>
          <t>2023</t>
        </is>
      </c>
      <c r="E351" s="7" t="n">
        <v>32</v>
      </c>
      <c r="F351" s="8" t="n">
        <v>46021</v>
      </c>
      <c r="G351" s="7" t="inlineStr">
        <is>
          <t>JOAN IMAYINNE GALVIS MORENO</t>
        </is>
      </c>
      <c r="H351" s="14" t="n">
        <v>2</v>
      </c>
      <c r="I351" s="15">
        <f>IF(H351="","",H351/2)</f>
        <v/>
      </c>
      <c r="J351" s="7">
        <f>IF(H351="",0,IF(SUMPRODUCT((Seguimientos!$A$2:$A$1013=A351)*(Seguimientos!$F$2:$F$1013=F351)*(Seguimientos!$B$2:$B$1013&gt;B351)*(Seguimientos!$H$2:$H$1013&lt;&gt;""))=0,1,0))</f>
        <v/>
      </c>
      <c r="K351" s="7">
        <f>A351&amp;"|"&amp;B351</f>
        <v/>
      </c>
      <c r="L351" s="13" t="inlineStr">
        <is>
          <t>ACTIVIDAD COMPLETADA</t>
        </is>
      </c>
    </row>
    <row r="352">
      <c r="A352" s="7" t="inlineStr">
        <is>
          <t>sgc-2023-32</t>
        </is>
      </c>
      <c r="B352" s="7" t="n">
        <v>8</v>
      </c>
      <c r="C352" s="7" t="inlineStr">
        <is>
          <t>SGC</t>
        </is>
      </c>
      <c r="D352" s="7" t="inlineStr">
        <is>
          <t>2023</t>
        </is>
      </c>
      <c r="E352" s="7" t="n">
        <v>32</v>
      </c>
      <c r="F352" s="8" t="n">
        <v>46142</v>
      </c>
      <c r="G352" s="7" t="inlineStr">
        <is>
          <t>JOAN IMAYINNE GALVIS MORENO</t>
        </is>
      </c>
      <c r="H352" s="14" t="n">
        <v>2</v>
      </c>
      <c r="I352" s="15">
        <f>IF(H352="","",H352/2)</f>
        <v/>
      </c>
      <c r="J352" s="7">
        <f>IF(H352="",0,IF(SUMPRODUCT((Seguimientos!$A$2:$A$1013=A352)*(Seguimientos!$F$2:$F$1013=F352)*(Seguimientos!$B$2:$B$1013&gt;B352)*(Seguimientos!$H$2:$H$1013&lt;&gt;""))=0,1,0))</f>
        <v/>
      </c>
      <c r="K352" s="7">
        <f>A352&amp;"|"&amp;B352</f>
        <v/>
      </c>
      <c r="L352" s="13" t="inlineStr">
        <is>
          <t>ACTIVIDAD COMPLETADA</t>
        </is>
      </c>
    </row>
    <row r="353">
      <c r="A353" s="7" t="inlineStr">
        <is>
          <t>sgc-2023-32</t>
        </is>
      </c>
      <c r="B353" s="7" t="n">
        <v>9</v>
      </c>
      <c r="C353" s="7" t="inlineStr">
        <is>
          <t>SGC</t>
        </is>
      </c>
      <c r="D353" s="7" t="inlineStr">
        <is>
          <t>2023</t>
        </is>
      </c>
      <c r="E353" s="7" t="n">
        <v>32</v>
      </c>
      <c r="F353" s="8" t="n">
        <v>46203</v>
      </c>
      <c r="G353" s="7" t="inlineStr">
        <is>
          <t>JOAN IMAYINNE GALVIS MORENO</t>
        </is>
      </c>
      <c r="H353" s="14" t="n">
        <v>2</v>
      </c>
      <c r="I353" s="15">
        <f>IF(H353="","",H353/2)</f>
        <v/>
      </c>
      <c r="J353" s="7">
        <f>IF(H353="",0,IF(SUMPRODUCT((Seguimientos!$A$2:$A$1013=A353)*(Seguimientos!$F$2:$F$1013=F353)*(Seguimientos!$B$2:$B$1013&gt;B353)*(Seguimientos!$H$2:$H$1013&lt;&gt;""))=0,1,0))</f>
        <v/>
      </c>
      <c r="K353" s="7">
        <f>A353&amp;"|"&amp;B353</f>
        <v/>
      </c>
      <c r="L353" s="13" t="inlineStr">
        <is>
          <t>ACTIVIDAD COMPLETADA</t>
        </is>
      </c>
    </row>
    <row r="354">
      <c r="A354" s="7" t="inlineStr">
        <is>
          <t>sgc-2023-33</t>
        </is>
      </c>
      <c r="B354" s="7" t="n">
        <v>1</v>
      </c>
      <c r="C354" s="7" t="inlineStr">
        <is>
          <t>SGC</t>
        </is>
      </c>
      <c r="D354" s="7" t="inlineStr">
        <is>
          <t>2023</t>
        </is>
      </c>
      <c r="E354" s="7" t="n">
        <v>33</v>
      </c>
      <c r="F354" s="8" t="n">
        <v>45405</v>
      </c>
      <c r="G354" s="7" t="inlineStr">
        <is>
          <t>DANIEL EDUARDO SOTO BERNAL</t>
        </is>
      </c>
      <c r="H354" s="14" t="n">
        <v>0</v>
      </c>
      <c r="I354" s="15">
        <f>IF(H354="","",H354/2)</f>
        <v/>
      </c>
      <c r="J354" s="7">
        <f>IF(H354="",0,IF(SUMPRODUCT((Seguimientos!$A$2:$A$1013=A354)*(Seguimientos!$F$2:$F$1013=F354)*(Seguimientos!$B$2:$B$1013&gt;B354)*(Seguimientos!$H$2:$H$1013&lt;&gt;""))=0,1,0))</f>
        <v/>
      </c>
      <c r="K354" s="7">
        <f>A354&amp;"|"&amp;B354</f>
        <v/>
      </c>
      <c r="L354" s="13" t="inlineStr">
        <is>
          <t>En la vigencia anterior se realizo una revisión y prueba piloto donde se determino que el curso no cumple en su totalidad con los criterios que indica la guía del DAFP y los requisitos de la ISO 9001:2015, sin embargo el Sistema de Gestión de Calidad se encuentra a la espera de la respuesta por parte de la Oficina de Educación Virtual y a Distancia.</t>
        </is>
      </c>
    </row>
    <row r="355">
      <c r="A355" s="7" t="inlineStr">
        <is>
          <t>sgc-2023-33</t>
        </is>
      </c>
      <c r="B355" s="7" t="n">
        <v>2</v>
      </c>
      <c r="C355" s="7" t="inlineStr">
        <is>
          <t>SGC</t>
        </is>
      </c>
      <c r="D355" s="7" t="inlineStr">
        <is>
          <t>2023</t>
        </is>
      </c>
      <c r="E355" s="7" t="n">
        <v>33</v>
      </c>
      <c r="F355" s="8" t="n">
        <v>45497</v>
      </c>
      <c r="G355" s="7" t="inlineStr">
        <is>
          <t>DANIEL EDUARDO SOTO BERNAL</t>
        </is>
      </c>
      <c r="H355" s="14" t="n">
        <v>1</v>
      </c>
      <c r="I355" s="15">
        <f>IF(H355="","",H355/2)</f>
        <v/>
      </c>
      <c r="J355" s="7">
        <f>IF(H355="",0,IF(SUMPRODUCT((Seguimientos!$A$2:$A$1013=A355)*(Seguimientos!$F$2:$F$1013=F355)*(Seguimientos!$B$2:$B$1013&gt;B355)*(Seguimientos!$H$2:$H$1013&lt;&gt;""))=0,1,0))</f>
        <v/>
      </c>
      <c r="K355" s="7">
        <f>A355&amp;"|"&amp;B355</f>
        <v/>
      </c>
      <c r="L355" s="13" t="inlineStr">
        <is>
          <t>En proceso de desarrollo recurso educativo digital de líneas de defensa. Pendiente grabación de video de la Dirección de Bienestar Universitario.</t>
        </is>
      </c>
    </row>
    <row r="356">
      <c r="A356" s="7" t="inlineStr">
        <is>
          <t>sgc-2023-33</t>
        </is>
      </c>
      <c r="B356" s="7" t="n">
        <v>3</v>
      </c>
      <c r="C356" s="7" t="inlineStr">
        <is>
          <t>SGC</t>
        </is>
      </c>
      <c r="D356" s="7" t="inlineStr">
        <is>
          <t>2023</t>
        </is>
      </c>
      <c r="E356" s="7" t="n">
        <v>33</v>
      </c>
      <c r="F356" s="8" t="n">
        <v>45583</v>
      </c>
      <c r="G356" s="7" t="inlineStr">
        <is>
          <t>DANIEL EDUARDO SOTO BERNAL</t>
        </is>
      </c>
      <c r="H356" s="14" t="n">
        <v>1.5</v>
      </c>
      <c r="I356" s="15">
        <f>IF(H356="","",H356/2)</f>
        <v/>
      </c>
      <c r="J356" s="7">
        <f>IF(H356="",0,IF(SUMPRODUCT((Seguimientos!$A$2:$A$1013=A356)*(Seguimientos!$F$2:$F$1013=F356)*(Seguimientos!$B$2:$B$1013&gt;B356)*(Seguimientos!$H$2:$H$1013&lt;&gt;""))=0,1,0))</f>
        <v/>
      </c>
      <c r="K356" s="7">
        <f>A356&amp;"|"&amp;B356</f>
        <v/>
      </c>
      <c r="L356" s="13" t="inlineStr">
        <is>
          <t>Se realiza la grabación del video de bienvenida del recurso educativo digital "Las 4 líneas de defensa" el 10-10-2024 (actualmente en proceso de posproducción), con el cual, se da completitud al recurso para la posterior entrega al área solicitante - Dirección de Control Interno. Se adjuntan capturas de pantalla del curso "Líneas de defensa" a cargo de la Dirección de Control Interno. Así mismo, es importante recalcar que, el curso de inducción se encuentra en construcción bajo la metodología de Campo de Aprendizaje, y a través de los formatos establecidos para tal fin, tal como se evidencia en los soportes adjuntos. - Dirección de Talento Humano.</t>
        </is>
      </c>
    </row>
    <row r="357">
      <c r="A357" s="7" t="inlineStr">
        <is>
          <t>sgc-2023-33</t>
        </is>
      </c>
      <c r="B357" s="7" t="n">
        <v>4</v>
      </c>
      <c r="C357" s="7" t="inlineStr">
        <is>
          <t>SGC</t>
        </is>
      </c>
      <c r="D357" s="7" t="inlineStr">
        <is>
          <t>2023</t>
        </is>
      </c>
      <c r="E357" s="7" t="n">
        <v>33</v>
      </c>
      <c r="F357" s="8" t="n">
        <v>45777</v>
      </c>
      <c r="G357" s="7" t="inlineStr">
        <is>
          <t>DANIEL EDUARDO SOTO BERNAL</t>
        </is>
      </c>
      <c r="H357" s="14" t="n">
        <v>1.5</v>
      </c>
      <c r="I357" s="15">
        <f>IF(H357="","",H357/2)</f>
        <v/>
      </c>
      <c r="J357" s="7">
        <f>IF(H357="",0,IF(SUMPRODUCT((Seguimientos!$A$2:$A$1013=A357)*(Seguimientos!$F$2:$F$1013=F357)*(Seguimientos!$B$2:$B$1013&gt;B357)*(Seguimientos!$H$2:$H$1013&lt;&gt;""))=0,1,0))</f>
        <v/>
      </c>
      <c r="K357" s="7">
        <f>A357&amp;"|"&amp;B357</f>
        <v/>
      </c>
      <c r="L357" s="13" t="inlineStr">
        <is>
          <t>El curso virtual de lineas de defensa ya paso las pruebas pilotos por parte de control interno. Pendiente respuesta de Educacion Virtual y a distancia para las correcciones y entrega final,</t>
        </is>
      </c>
    </row>
    <row r="358">
      <c r="A358" s="7" t="inlineStr">
        <is>
          <t>sgc-2023-33</t>
        </is>
      </c>
      <c r="B358" s="7" t="n">
        <v>5</v>
      </c>
      <c r="C358" s="7" t="inlineStr">
        <is>
          <t>SGC</t>
        </is>
      </c>
      <c r="D358" s="7" t="inlineStr">
        <is>
          <t>2023</t>
        </is>
      </c>
      <c r="E358" s="7" t="n">
        <v>33</v>
      </c>
      <c r="F358" s="8" t="n">
        <v>45838</v>
      </c>
      <c r="G358" s="7" t="inlineStr">
        <is>
          <t>DANIEL EDUARDO SOTO BERNAL</t>
        </is>
      </c>
      <c r="H358" s="14" t="n">
        <v>1.5</v>
      </c>
      <c r="I358" s="15">
        <f>IF(H358="","",H358/2)</f>
        <v/>
      </c>
      <c r="J358" s="7">
        <f>IF(H358="",0,IF(SUMPRODUCT((Seguimientos!$A$2:$A$1013=A358)*(Seguimientos!$F$2:$F$1013=F358)*(Seguimientos!$B$2:$B$1013&gt;B358)*(Seguimientos!$H$2:$H$1013&lt;&gt;""))=0,1,0))</f>
        <v/>
      </c>
      <c r="K358" s="7">
        <f>A358&amp;"|"&amp;B358</f>
        <v/>
      </c>
      <c r="L358" s="13" t="inlineStr">
        <is>
          <t>Desde la Oficina de Educación Virtual y a Distancia se hace la entrega oficial del curso de líneas de defensa a la Dirección de Control Interno la cual espera lanzar en las aulas virtuales requisito de inducción y reinducción para personal administrativo y así tener este curso aprobado para la contratación.</t>
        </is>
      </c>
    </row>
    <row r="359">
      <c r="A359" s="7" t="inlineStr">
        <is>
          <t>sgc-2023-33</t>
        </is>
      </c>
      <c r="B359" s="7" t="n">
        <v>6</v>
      </c>
      <c r="C359" s="7" t="inlineStr">
        <is>
          <t>SGC</t>
        </is>
      </c>
      <c r="D359" s="7" t="inlineStr">
        <is>
          <t>2023</t>
        </is>
      </c>
      <c r="E359" s="7" t="n">
        <v>33</v>
      </c>
      <c r="F359" s="8" t="n">
        <v>45930</v>
      </c>
      <c r="G359" s="7" t="inlineStr">
        <is>
          <t>JOAN IMAYINNE GALVIS MORENO</t>
        </is>
      </c>
      <c r="H359" s="14" t="n">
        <v>1.5</v>
      </c>
      <c r="I359" s="15">
        <f>IF(H359="","",H359/2)</f>
        <v/>
      </c>
      <c r="J359" s="7">
        <f>IF(H359="",0,IF(SUMPRODUCT((Seguimientos!$A$2:$A$1013=A359)*(Seguimientos!$F$2:$F$1013=F359)*(Seguimientos!$B$2:$B$1013&gt;B359)*(Seguimientos!$H$2:$H$1013&lt;&gt;""))=0,1,0))</f>
        <v/>
      </c>
      <c r="K359" s="7">
        <f>A359&amp;"|"&amp;B359</f>
        <v/>
      </c>
      <c r="L359" s="13" t="inlineStr"/>
    </row>
    <row r="360">
      <c r="A360" s="7" t="inlineStr">
        <is>
          <t>sgc-2023-33</t>
        </is>
      </c>
      <c r="B360" s="7" t="n">
        <v>7</v>
      </c>
      <c r="C360" s="7" t="inlineStr">
        <is>
          <t>SGC</t>
        </is>
      </c>
      <c r="D360" s="7" t="inlineStr">
        <is>
          <t>2023</t>
        </is>
      </c>
      <c r="E360" s="7" t="n">
        <v>33</v>
      </c>
      <c r="F360" s="8" t="n">
        <v>46021</v>
      </c>
      <c r="G360" s="7" t="inlineStr">
        <is>
          <t>JOAN IMAYINNE GALVIS MORENO</t>
        </is>
      </c>
      <c r="H360" s="14" t="n">
        <v>1.5</v>
      </c>
      <c r="I360" s="15">
        <f>IF(H360="","",H360/2)</f>
        <v/>
      </c>
      <c r="J360" s="7">
        <f>IF(H360="",0,IF(SUMPRODUCT((Seguimientos!$A$2:$A$1013=A360)*(Seguimientos!$F$2:$F$1013=F360)*(Seguimientos!$B$2:$B$1013&gt;B360)*(Seguimientos!$H$2:$H$1013&lt;&gt;""))=0,1,0))</f>
        <v/>
      </c>
      <c r="K360" s="7">
        <f>A360&amp;"|"&amp;B360</f>
        <v/>
      </c>
      <c r="L360" s="13" t="inlineStr">
        <is>
          <t>Actividad pendiente por cumplir, No soportan evidencia.</t>
        </is>
      </c>
    </row>
    <row r="361">
      <c r="A361" s="7" t="inlineStr">
        <is>
          <t>sgc-2023-33</t>
        </is>
      </c>
      <c r="B361" s="7" t="n">
        <v>8</v>
      </c>
      <c r="C361" s="7" t="inlineStr">
        <is>
          <t>SGC</t>
        </is>
      </c>
      <c r="D361" s="7" t="inlineStr">
        <is>
          <t>2023</t>
        </is>
      </c>
      <c r="E361" s="7" t="n">
        <v>33</v>
      </c>
      <c r="F361" s="8" t="n">
        <v>46142</v>
      </c>
      <c r="G361" s="7" t="inlineStr">
        <is>
          <t>JOAN IMAYINNE GALVIS MORENO</t>
        </is>
      </c>
      <c r="H361" s="14" t="n">
        <v>1.5</v>
      </c>
      <c r="I361" s="15">
        <f>IF(H361="","",H361/2)</f>
        <v/>
      </c>
      <c r="J361" s="7">
        <f>IF(H361="",0,IF(SUMPRODUCT((Seguimientos!$A$2:$A$1013=A361)*(Seguimientos!$F$2:$F$1013=F361)*(Seguimientos!$B$2:$B$1013&gt;B361)*(Seguimientos!$H$2:$H$1013&lt;&gt;""))=0,1,0))</f>
        <v/>
      </c>
      <c r="K361" s="7">
        <f>A361&amp;"|"&amp;B361</f>
        <v/>
      </c>
      <c r="L361" s="13" t="inlineStr"/>
    </row>
    <row r="362">
      <c r="A362" s="7" t="inlineStr">
        <is>
          <t>sgc-2023-33</t>
        </is>
      </c>
      <c r="B362" s="7" t="n">
        <v>9</v>
      </c>
      <c r="C362" s="7" t="inlineStr">
        <is>
          <t>SGC</t>
        </is>
      </c>
      <c r="D362" s="7" t="inlineStr">
        <is>
          <t>2023</t>
        </is>
      </c>
      <c r="E362" s="7" t="n">
        <v>33</v>
      </c>
      <c r="F362" s="8" t="n">
        <v>46203</v>
      </c>
      <c r="G362" s="7" t="inlineStr">
        <is>
          <t>JOAN IMAYINNE GALVIS MORENO</t>
        </is>
      </c>
      <c r="H362" s="14" t="n">
        <v>1.5</v>
      </c>
      <c r="I362" s="15">
        <f>IF(H362="","",H362/2)</f>
        <v/>
      </c>
      <c r="J362" s="7">
        <f>IF(H362="",0,IF(SUMPRODUCT((Seguimientos!$A$2:$A$1013=A362)*(Seguimientos!$F$2:$F$1013=F362)*(Seguimientos!$B$2:$B$1013&gt;B362)*(Seguimientos!$H$2:$H$1013&lt;&gt;""))=0,1,0))</f>
        <v/>
      </c>
      <c r="K362" s="7">
        <f>A362&amp;"|"&amp;B362</f>
        <v/>
      </c>
      <c r="L362" s="13" t="inlineStr"/>
    </row>
    <row r="363">
      <c r="A363" s="7" t="inlineStr">
        <is>
          <t>sgc-2023-34</t>
        </is>
      </c>
      <c r="B363" s="7" t="n">
        <v>1</v>
      </c>
      <c r="C363" s="7" t="inlineStr">
        <is>
          <t>SGC</t>
        </is>
      </c>
      <c r="D363" s="7" t="inlineStr">
        <is>
          <t>2023</t>
        </is>
      </c>
      <c r="E363" s="7" t="n">
        <v>34</v>
      </c>
      <c r="F363" s="8" t="n">
        <v>45405</v>
      </c>
      <c r="G363" s="7" t="inlineStr">
        <is>
          <t>DANIEL EDUARDO SOTO BERNAL</t>
        </is>
      </c>
      <c r="H363" s="14" t="n">
        <v>0</v>
      </c>
      <c r="I363" s="15">
        <f>IF(H363="","",H363/2)</f>
        <v/>
      </c>
      <c r="J363" s="7">
        <f>IF(H363="",0,IF(SUMPRODUCT((Seguimientos!$A$2:$A$1013=A363)*(Seguimientos!$F$2:$F$1013=F363)*(Seguimientos!$B$2:$B$1013&gt;B363)*(Seguimientos!$H$2:$H$1013&lt;&gt;""))=0,1,0))</f>
        <v/>
      </c>
      <c r="K363" s="7">
        <f>A363&amp;"|"&amp;B363</f>
        <v/>
      </c>
      <c r="L363" s="13" t="inlineStr">
        <is>
          <t>Actividad pendiente por cumplir, No soportan evidencia.</t>
        </is>
      </c>
    </row>
    <row r="364">
      <c r="A364" s="7" t="inlineStr">
        <is>
          <t>sgc-2023-34</t>
        </is>
      </c>
      <c r="B364" s="7" t="n">
        <v>2</v>
      </c>
      <c r="C364" s="7" t="inlineStr">
        <is>
          <t>SGC</t>
        </is>
      </c>
      <c r="D364" s="7" t="inlineStr">
        <is>
          <t>2023</t>
        </is>
      </c>
      <c r="E364" s="7" t="n">
        <v>34</v>
      </c>
      <c r="F364" s="8" t="n">
        <v>45497</v>
      </c>
      <c r="G364" s="7" t="inlineStr">
        <is>
          <t>DANIEL EDUARDO SOTO BERNAL</t>
        </is>
      </c>
      <c r="H364" s="14" t="n">
        <v>0.5</v>
      </c>
      <c r="I364" s="15">
        <f>IF(H364="","",H364/2)</f>
        <v/>
      </c>
      <c r="J364" s="7">
        <f>IF(H364="",0,IF(SUMPRODUCT((Seguimientos!$A$2:$A$1013=A364)*(Seguimientos!$F$2:$F$1013=F364)*(Seguimientos!$B$2:$B$1013&gt;B364)*(Seguimientos!$H$2:$H$1013&lt;&gt;""))=0,1,0))</f>
        <v/>
      </c>
      <c r="K364" s="7">
        <f>A364&amp;"|"&amp;B364</f>
        <v/>
      </c>
      <c r="L364" s="13" t="inlineStr">
        <is>
          <t>La meta de cumplimiento establece que debe anexar un informe de la implementación del salario emocional a los lideres de procesos o equipo de trabajo por gestionar de manera efectiva los planes de mejoramiento, en cambio anexan PLAN DE BIENESTAR, ESTIMULOS E INCENTIVOS, se insta al cargue de la evidencia requerida.</t>
        </is>
      </c>
    </row>
    <row r="365">
      <c r="A365" s="7" t="inlineStr">
        <is>
          <t>sgc-2023-34</t>
        </is>
      </c>
      <c r="B365" s="7" t="n">
        <v>3</v>
      </c>
      <c r="C365" s="7" t="inlineStr">
        <is>
          <t>SGC</t>
        </is>
      </c>
      <c r="D365" s="7" t="inlineStr">
        <is>
          <t>2023</t>
        </is>
      </c>
      <c r="E365" s="7" t="n">
        <v>34</v>
      </c>
      <c r="F365" s="8" t="n">
        <v>45583</v>
      </c>
      <c r="G365" s="7" t="inlineStr">
        <is>
          <t>DANIEL EDUARDO SOTO BERNAL</t>
        </is>
      </c>
      <c r="H365" s="14" t="n">
        <v>2</v>
      </c>
      <c r="I365" s="15">
        <f>IF(H365="","",H365/2)</f>
        <v/>
      </c>
      <c r="J365" s="7">
        <f>IF(H365="",0,IF(SUMPRODUCT((Seguimientos!$A$2:$A$1013=A365)*(Seguimientos!$F$2:$F$1013=F365)*(Seguimientos!$B$2:$B$1013&gt;B365)*(Seguimientos!$H$2:$H$1013&lt;&gt;""))=0,1,0))</f>
        <v/>
      </c>
      <c r="K365" s="7">
        <f>A365&amp;"|"&amp;B365</f>
        <v/>
      </c>
      <c r="L365" s="13" t="inlineStr">
        <is>
          <t>La Dirección de Talento humano No adjunta informe, en cambio adjunta circular No. 014 emanada por la Vicerrectoría Administrativa y Financiera, donde se evidencia beneficio de salario emocional, además, de boletín informativo donde se evidencia que fue dado a conocer a toda la comunidad beneficiaria.</t>
        </is>
      </c>
    </row>
    <row r="366">
      <c r="A366" s="7" t="inlineStr">
        <is>
          <t>sgc-2023-34</t>
        </is>
      </c>
      <c r="B366" s="7" t="n">
        <v>4</v>
      </c>
      <c r="C366" s="7" t="inlineStr">
        <is>
          <t>SGC</t>
        </is>
      </c>
      <c r="D366" s="7" t="inlineStr">
        <is>
          <t>2023</t>
        </is>
      </c>
      <c r="E366" s="7" t="n">
        <v>34</v>
      </c>
      <c r="F366" s="8" t="n">
        <v>45777</v>
      </c>
      <c r="G366" s="7" t="inlineStr">
        <is>
          <t>DANIEL EDUARDO SOTO BERNAL</t>
        </is>
      </c>
      <c r="H366" s="14" t="n">
        <v>2</v>
      </c>
      <c r="I366" s="15">
        <f>IF(H366="","",H366/2)</f>
        <v/>
      </c>
      <c r="J366" s="7">
        <f>IF(H366="",0,IF(SUMPRODUCT((Seguimientos!$A$2:$A$1013=A366)*(Seguimientos!$F$2:$F$1013=F366)*(Seguimientos!$B$2:$B$1013&gt;B366)*(Seguimientos!$H$2:$H$1013&lt;&gt;""))=0,1,0))</f>
        <v/>
      </c>
      <c r="K366" s="7">
        <f>A366&amp;"|"&amp;B366</f>
        <v/>
      </c>
      <c r="L366" s="13" t="inlineStr">
        <is>
          <t>ACTIVIDAD COMPLETADA</t>
        </is>
      </c>
    </row>
    <row r="367">
      <c r="A367" s="7" t="inlineStr">
        <is>
          <t>sgc-2023-34</t>
        </is>
      </c>
      <c r="B367" s="7" t="n">
        <v>5</v>
      </c>
      <c r="C367" s="7" t="inlineStr">
        <is>
          <t>SGC</t>
        </is>
      </c>
      <c r="D367" s="7" t="inlineStr">
        <is>
          <t>2023</t>
        </is>
      </c>
      <c r="E367" s="7" t="n">
        <v>34</v>
      </c>
      <c r="F367" s="8" t="n">
        <v>45838</v>
      </c>
      <c r="G367" s="7" t="inlineStr">
        <is>
          <t>DANIEL EDUARDO SOTO BERNAL</t>
        </is>
      </c>
      <c r="H367" s="14" t="n">
        <v>2</v>
      </c>
      <c r="I367" s="15">
        <f>IF(H367="","",H367/2)</f>
        <v/>
      </c>
      <c r="J367" s="7">
        <f>IF(H367="",0,IF(SUMPRODUCT((Seguimientos!$A$2:$A$1013=A367)*(Seguimientos!$F$2:$F$1013=F367)*(Seguimientos!$B$2:$B$1013&gt;B367)*(Seguimientos!$H$2:$H$1013&lt;&gt;""))=0,1,0))</f>
        <v/>
      </c>
      <c r="K367" s="7">
        <f>A367&amp;"|"&amp;B367</f>
        <v/>
      </c>
      <c r="L367" s="13" t="inlineStr">
        <is>
          <t>ACTIVIDAD COMPLETADA</t>
        </is>
      </c>
    </row>
    <row r="368">
      <c r="A368" s="7" t="inlineStr">
        <is>
          <t>sgc-2023-34</t>
        </is>
      </c>
      <c r="B368" s="7" t="n">
        <v>6</v>
      </c>
      <c r="C368" s="7" t="inlineStr">
        <is>
          <t>SGC</t>
        </is>
      </c>
      <c r="D368" s="7" t="inlineStr">
        <is>
          <t>2023</t>
        </is>
      </c>
      <c r="E368" s="7" t="n">
        <v>34</v>
      </c>
      <c r="F368" s="8" t="n">
        <v>45930</v>
      </c>
      <c r="G368" s="7" t="inlineStr">
        <is>
          <t>JOAN IMAYINNE GALVIS MORENO</t>
        </is>
      </c>
      <c r="H368" s="14" t="n">
        <v>2</v>
      </c>
      <c r="I368" s="15">
        <f>IF(H368="","",H368/2)</f>
        <v/>
      </c>
      <c r="J368" s="7">
        <f>IF(H368="",0,IF(SUMPRODUCT((Seguimientos!$A$2:$A$1013=A368)*(Seguimientos!$F$2:$F$1013=F368)*(Seguimientos!$B$2:$B$1013&gt;B368)*(Seguimientos!$H$2:$H$1013&lt;&gt;""))=0,1,0))</f>
        <v/>
      </c>
      <c r="K368" s="7">
        <f>A368&amp;"|"&amp;B368</f>
        <v/>
      </c>
      <c r="L368" s="13" t="inlineStr">
        <is>
          <t>ACTIVIDAD COMPLETADA</t>
        </is>
      </c>
    </row>
    <row r="369">
      <c r="A369" s="7" t="inlineStr">
        <is>
          <t>sgc-2023-34</t>
        </is>
      </c>
      <c r="B369" s="7" t="n">
        <v>7</v>
      </c>
      <c r="C369" s="7" t="inlineStr">
        <is>
          <t>SGC</t>
        </is>
      </c>
      <c r="D369" s="7" t="inlineStr">
        <is>
          <t>2023</t>
        </is>
      </c>
      <c r="E369" s="7" t="n">
        <v>34</v>
      </c>
      <c r="F369" s="8" t="n">
        <v>46021</v>
      </c>
      <c r="G369" s="7" t="inlineStr">
        <is>
          <t>JOAN IMAYINNE GALVIS MORENO</t>
        </is>
      </c>
      <c r="H369" s="14" t="n">
        <v>2</v>
      </c>
      <c r="I369" s="15">
        <f>IF(H369="","",H369/2)</f>
        <v/>
      </c>
      <c r="J369" s="7">
        <f>IF(H369="",0,IF(SUMPRODUCT((Seguimientos!$A$2:$A$1013=A369)*(Seguimientos!$F$2:$F$1013=F369)*(Seguimientos!$B$2:$B$1013&gt;B369)*(Seguimientos!$H$2:$H$1013&lt;&gt;""))=0,1,0))</f>
        <v/>
      </c>
      <c r="K369" s="7">
        <f>A369&amp;"|"&amp;B369</f>
        <v/>
      </c>
      <c r="L369" s="13" t="inlineStr">
        <is>
          <t>ACTIVIDAD COMPLETADA</t>
        </is>
      </c>
    </row>
    <row r="370">
      <c r="A370" s="7" t="inlineStr">
        <is>
          <t>sgc-2023-34</t>
        </is>
      </c>
      <c r="B370" s="7" t="n">
        <v>8</v>
      </c>
      <c r="C370" s="7" t="inlineStr">
        <is>
          <t>SGC</t>
        </is>
      </c>
      <c r="D370" s="7" t="inlineStr">
        <is>
          <t>2023</t>
        </is>
      </c>
      <c r="E370" s="7" t="n">
        <v>34</v>
      </c>
      <c r="F370" s="8" t="n">
        <v>46142</v>
      </c>
      <c r="G370" s="7" t="inlineStr">
        <is>
          <t>JOAN IMAYINNE GALVIS MORENO</t>
        </is>
      </c>
      <c r="H370" s="14" t="n">
        <v>2</v>
      </c>
      <c r="I370" s="15">
        <f>IF(H370="","",H370/2)</f>
        <v/>
      </c>
      <c r="J370" s="7">
        <f>IF(H370="",0,IF(SUMPRODUCT((Seguimientos!$A$2:$A$1013=A370)*(Seguimientos!$F$2:$F$1013=F370)*(Seguimientos!$B$2:$B$1013&gt;B370)*(Seguimientos!$H$2:$H$1013&lt;&gt;""))=0,1,0))</f>
        <v/>
      </c>
      <c r="K370" s="7">
        <f>A370&amp;"|"&amp;B370</f>
        <v/>
      </c>
      <c r="L370" s="13" t="inlineStr">
        <is>
          <t>ACTIVIDAD COMPLETADA</t>
        </is>
      </c>
    </row>
    <row r="371">
      <c r="A371" s="7" t="inlineStr">
        <is>
          <t>sgc-2023-34</t>
        </is>
      </c>
      <c r="B371" s="7" t="n">
        <v>9</v>
      </c>
      <c r="C371" s="7" t="inlineStr">
        <is>
          <t>SGC</t>
        </is>
      </c>
      <c r="D371" s="7" t="inlineStr">
        <is>
          <t>2023</t>
        </is>
      </c>
      <c r="E371" s="7" t="n">
        <v>34</v>
      </c>
      <c r="F371" s="8" t="n">
        <v>46203</v>
      </c>
      <c r="G371" s="7" t="inlineStr">
        <is>
          <t>JOAN IMAYINNE GALVIS MORENO</t>
        </is>
      </c>
      <c r="H371" s="14" t="n">
        <v>2</v>
      </c>
      <c r="I371" s="15">
        <f>IF(H371="","",H371/2)</f>
        <v/>
      </c>
      <c r="J371" s="7">
        <f>IF(H371="",0,IF(SUMPRODUCT((Seguimientos!$A$2:$A$1013=A371)*(Seguimientos!$F$2:$F$1013=F371)*(Seguimientos!$B$2:$B$1013&gt;B371)*(Seguimientos!$H$2:$H$1013&lt;&gt;""))=0,1,0))</f>
        <v/>
      </c>
      <c r="K371" s="7">
        <f>A371&amp;"|"&amp;B371</f>
        <v/>
      </c>
      <c r="L371" s="13" t="inlineStr">
        <is>
          <t>ACTIVIDAD COMPLETADA</t>
        </is>
      </c>
    </row>
    <row r="372">
      <c r="A372" s="7" t="inlineStr">
        <is>
          <t>sgc-2023-35</t>
        </is>
      </c>
      <c r="B372" s="7" t="n">
        <v>1</v>
      </c>
      <c r="C372" s="7" t="inlineStr">
        <is>
          <t>SGC</t>
        </is>
      </c>
      <c r="D372" s="7" t="inlineStr">
        <is>
          <t>2023</t>
        </is>
      </c>
      <c r="E372" s="7" t="n">
        <v>35</v>
      </c>
      <c r="F372" s="8" t="n">
        <v>45405</v>
      </c>
      <c r="G372" s="7" t="inlineStr">
        <is>
          <t>DANIEL EDUARDO SOTO BERNAL</t>
        </is>
      </c>
      <c r="H372" s="14" t="n">
        <v>0</v>
      </c>
      <c r="I372" s="15">
        <f>IF(H372="","",H372/2)</f>
        <v/>
      </c>
      <c r="J372" s="7">
        <f>IF(H372="",0,IF(SUMPRODUCT((Seguimientos!$A$2:$A$1013=A372)*(Seguimientos!$F$2:$F$1013=F372)*(Seguimientos!$B$2:$B$1013&gt;B372)*(Seguimientos!$H$2:$H$1013&lt;&gt;""))=0,1,0))</f>
        <v/>
      </c>
      <c r="K372" s="7">
        <f>A372&amp;"|"&amp;B372</f>
        <v/>
      </c>
      <c r="L372" s="13" t="inlineStr">
        <is>
          <t>A partir del año 2024, se iniciará el trámite de implementación de este proceso, el cual está previsto que entre en vigor en la vigencia 2025. Esto se debe a que, para el presente año, los recursos necesarios para llevar a cabo el proceso de calibración han sido asignados a la Unidad de Apoyo Académico. Además, el contrato de metrología para este periodo está siendo supervisado por el jefe de la Unidad de Apoyo Académico. En consideración a esta información, se establece que, durante el año 2024, la responsabilidad del indicador de calidad debe permanecer a cargo en la Unidad de Apoyo Académico. APOYO ACADEMICO N/A, El presupuesto fue asignado nuevamente al proceso de apoyo académico y la supervisión del contrato del metrólogo esta a cargo de la jefatura de Apoyo académico, sin embargo se llevara a comisión de Gestión. CALIDAD</t>
        </is>
      </c>
    </row>
    <row r="373">
      <c r="A373" s="7" t="inlineStr">
        <is>
          <t>sgc-2023-35</t>
        </is>
      </c>
      <c r="B373" s="7" t="n">
        <v>2</v>
      </c>
      <c r="C373" s="7" t="inlineStr">
        <is>
          <t>SGC</t>
        </is>
      </c>
      <c r="D373" s="7" t="inlineStr">
        <is>
          <t>2023</t>
        </is>
      </c>
      <c r="E373" s="7" t="n">
        <v>35</v>
      </c>
      <c r="F373" s="8" t="n">
        <v>45497</v>
      </c>
      <c r="G373" s="7" t="inlineStr">
        <is>
          <t>DANIEL EDUARDO SOTO BERNAL</t>
        </is>
      </c>
      <c r="H373" s="14" t="n">
        <v>0</v>
      </c>
      <c r="I373" s="15">
        <f>IF(H373="","",H373/2)</f>
        <v/>
      </c>
      <c r="J373" s="7">
        <f>IF(H373="",0,IF(SUMPRODUCT((Seguimientos!$A$2:$A$1013=A373)*(Seguimientos!$F$2:$F$1013=F373)*(Seguimientos!$B$2:$B$1013&gt;B373)*(Seguimientos!$H$2:$H$1013&lt;&gt;""))=0,1,0))</f>
        <v/>
      </c>
      <c r="K373" s="7">
        <f>A373&amp;"|"&amp;B373</f>
        <v/>
      </c>
      <c r="L373" s="13" t="inlineStr">
        <is>
          <t>Debido a la asignación de recursos para la calibración de equipos de investigación a la Unidad de Apoyo Académico, se procedió a la verificación de los elementos reportados y se ha iniciado el proceso ABS para gestionar esta tarea. Actualmente, el proceso se encuentra en la etapa de Subsanabilidad. Esto permite a los oferentes corregir o completar los documentos faltantes, asegurando así la selección del mejor oferente para llevar a cabo la calibración de los equipos reportados. / Calidad Debido a que el presupuesto asignado para las calibraciones de los equipos de investigación fue asignado a la Unidad de Apoyo Académico para 2024, no se solicitó la transferencia del indicador. Para este año, la Unidad de Apoyo Académico ha colaborado estrechamente con la gestora de metrología para asegurar el correcto desarrollo del proceso de calibración de los equipos de investigación.</t>
        </is>
      </c>
    </row>
    <row r="374">
      <c r="A374" s="7" t="inlineStr">
        <is>
          <t>sgc-2023-35</t>
        </is>
      </c>
      <c r="B374" s="7" t="n">
        <v>3</v>
      </c>
      <c r="C374" s="7" t="inlineStr">
        <is>
          <t>SGC</t>
        </is>
      </c>
      <c r="D374" s="7" t="inlineStr">
        <is>
          <t>2023</t>
        </is>
      </c>
      <c r="E374" s="7" t="n">
        <v>35</v>
      </c>
      <c r="F374" s="8" t="n">
        <v>45583</v>
      </c>
      <c r="G374" s="7" t="inlineStr">
        <is>
          <t>DANIEL EDUARDO SOTO BERNAL</t>
        </is>
      </c>
      <c r="H374" s="14" t="n">
        <v>0</v>
      </c>
      <c r="I374" s="15">
        <f>IF(H374="","",H374/2)</f>
        <v/>
      </c>
      <c r="J374" s="7">
        <f>IF(H374="",0,IF(SUMPRODUCT((Seguimientos!$A$2:$A$1013=A374)*(Seguimientos!$F$2:$F$1013=F374)*(Seguimientos!$B$2:$B$1013&gt;B374)*(Seguimientos!$H$2:$H$1013&lt;&gt;""))=0,1,0))</f>
        <v/>
      </c>
      <c r="K374" s="7">
        <f>A374&amp;"|"&amp;B374</f>
        <v/>
      </c>
      <c r="L374" s="13" t="inlineStr">
        <is>
          <t>Teniendo en cuenta lo anterior, se organizará una mesa de trabajo con el objetivo de definir la asignación final del indicador. Esta reunión servirá para determinar si, junto con el indicador, se trasladará también el presupuesto del proceso o si, por el contrario, el indicador será asignado a la Dirección de Investigación por su relevancia, manteniendo la ejecución del presupuesto a cargo de Apoyo Académico. Es así que la medición del indicador será concluida por la Unidad de Apoyo Académico. A partir del año 2025, la medición del indicador será responsabilidad de la Dirección de Investigación, en línea con la Oportunidad de Mejora 35 y su aprobación de traslado dentro del Comité SAD. La medición del indicador será concluida por la Unidad de Apoyo Académico. A partir del año 2025, la medición del indicador será responsabilidad de la Dirección de Investigación, en línea con la Oportunidad de Mejora 35 y su aprobación de traslado dentro del Comité SAD.</t>
        </is>
      </c>
    </row>
    <row r="375">
      <c r="A375" s="7" t="inlineStr">
        <is>
          <t>sgc-2023-35</t>
        </is>
      </c>
      <c r="B375" s="7" t="n">
        <v>4</v>
      </c>
      <c r="C375" s="7" t="inlineStr">
        <is>
          <t>SGC</t>
        </is>
      </c>
      <c r="D375" s="7" t="inlineStr">
        <is>
          <t>2023</t>
        </is>
      </c>
      <c r="E375" s="7" t="n">
        <v>35</v>
      </c>
      <c r="F375" s="8" t="n">
        <v>45777</v>
      </c>
      <c r="G375" s="7" t="inlineStr">
        <is>
          <t>DANIEL EDUARDO SOTO BERNAL</t>
        </is>
      </c>
      <c r="H375" s="14" t="n">
        <v>0</v>
      </c>
      <c r="I375" s="15">
        <f>IF(H375="","",H375/2)</f>
        <v/>
      </c>
      <c r="J375" s="7">
        <f>IF(H375="",0,IF(SUMPRODUCT((Seguimientos!$A$2:$A$1013=A375)*(Seguimientos!$F$2:$F$1013=F375)*(Seguimientos!$B$2:$B$1013&gt;B375)*(Seguimientos!$H$2:$H$1013&lt;&gt;""))=0,1,0))</f>
        <v/>
      </c>
      <c r="K375" s="7">
        <f>A375&amp;"|"&amp;B375</f>
        <v/>
      </c>
      <c r="L375" s="13" t="inlineStr">
        <is>
          <t>Actividad pendiente por cumplir, No soportan evidencia.</t>
        </is>
      </c>
    </row>
    <row r="376">
      <c r="A376" s="7" t="inlineStr">
        <is>
          <t>sgc-2023-35</t>
        </is>
      </c>
      <c r="B376" s="7" t="n">
        <v>5</v>
      </c>
      <c r="C376" s="7" t="inlineStr">
        <is>
          <t>SGC</t>
        </is>
      </c>
      <c r="D376" s="7" t="inlineStr">
        <is>
          <t>2023</t>
        </is>
      </c>
      <c r="E376" s="7" t="n">
        <v>35</v>
      </c>
      <c r="F376" s="8" t="n">
        <v>45838</v>
      </c>
      <c r="G376" s="7" t="inlineStr">
        <is>
          <t>DANIEL EDUARDO SOTO BERNAL</t>
        </is>
      </c>
      <c r="H376" s="14" t="n">
        <v>0</v>
      </c>
      <c r="I376" s="15">
        <f>IF(H376="","",H376/2)</f>
        <v/>
      </c>
      <c r="J376" s="7">
        <f>IF(H376="",0,IF(SUMPRODUCT((Seguimientos!$A$2:$A$1013=A376)*(Seguimientos!$F$2:$F$1013=F376)*(Seguimientos!$B$2:$B$1013&gt;B376)*(Seguimientos!$H$2:$H$1013&lt;&gt;""))=0,1,0))</f>
        <v/>
      </c>
      <c r="K376" s="7">
        <f>A376&amp;"|"&amp;B376</f>
        <v/>
      </c>
      <c r="L376" s="13" t="inlineStr">
        <is>
          <t>Actividad pendiente por cumplir, No soportan evidencia.</t>
        </is>
      </c>
    </row>
    <row r="377">
      <c r="A377" s="7" t="inlineStr">
        <is>
          <t>sgc-2023-35</t>
        </is>
      </c>
      <c r="B377" s="7" t="n">
        <v>6</v>
      </c>
      <c r="C377" s="7" t="inlineStr">
        <is>
          <t>SGC</t>
        </is>
      </c>
      <c r="D377" s="7" t="inlineStr">
        <is>
          <t>2023</t>
        </is>
      </c>
      <c r="E377" s="7" t="n">
        <v>35</v>
      </c>
      <c r="F377" s="8" t="n">
        <v>45930</v>
      </c>
      <c r="G377" s="7" t="inlineStr">
        <is>
          <t>JOAN IMAYINNE GALVIS MORENO</t>
        </is>
      </c>
      <c r="H377" s="14" t="n">
        <v>1.5</v>
      </c>
      <c r="I377" s="15">
        <f>IF(H377="","",H377/2)</f>
        <v/>
      </c>
      <c r="J377" s="7">
        <f>IF(H377="",0,IF(SUMPRODUCT((Seguimientos!$A$2:$A$1013=A377)*(Seguimientos!$F$2:$F$1013=F377)*(Seguimientos!$B$2:$B$1013&gt;B377)*(Seguimientos!$H$2:$H$1013&lt;&gt;""))=0,1,0))</f>
        <v/>
      </c>
      <c r="K377" s="7">
        <f>A377&amp;"|"&amp;B377</f>
        <v/>
      </c>
      <c r="L377" s="13" t="inlineStr">
        <is>
          <t>La Unidad de Apoyo Académico, en conjunto con la Dirección de Planeación, la Dirección de Investigación y la Oficina de Calidad, presentó en 2024 ante el Comité SAC la propuesta de traslado del indicador de gestión correspondiente. Durante la sesión, el comité determinó que, dado que los recursos estaban asignados a la Unidad de Apoyo Académico, el indicador no podría ser transferido hasta tanto se realizara el ajuste presupuestal respectivo. Para la vigencia 2025-2026, los recursos destinados a la calibración de equipos de investigación fueron asignados a la Dirección de Investigación. Asimismo, la Unidad de Apoyo Académico solicitó incluir el tema en el próximo Comité SAC, con el propósito de gestionar la asignación definitiva del indicador a la Dirección de Investigación y garantizar la trazabilidad y adecuada administración de los recursos.</t>
        </is>
      </c>
    </row>
    <row r="378">
      <c r="A378" s="7" t="inlineStr">
        <is>
          <t>sgc-2023-35</t>
        </is>
      </c>
      <c r="B378" s="7" t="n">
        <v>7</v>
      </c>
      <c r="C378" s="7" t="inlineStr">
        <is>
          <t>SGC</t>
        </is>
      </c>
      <c r="D378" s="7" t="inlineStr">
        <is>
          <t>2023</t>
        </is>
      </c>
      <c r="E378" s="7" t="n">
        <v>35</v>
      </c>
      <c r="F378" s="8" t="n">
        <v>46021</v>
      </c>
      <c r="G378" s="7" t="inlineStr">
        <is>
          <t>JOAN IMAYINNE GALVIS MORENO</t>
        </is>
      </c>
      <c r="H378" s="14" t="n">
        <v>2</v>
      </c>
      <c r="I378" s="15">
        <f>IF(H378="","",H378/2)</f>
        <v/>
      </c>
      <c r="J378" s="7">
        <f>IF(H378="",0,IF(SUMPRODUCT((Seguimientos!$A$2:$A$1013=A378)*(Seguimientos!$F$2:$F$1013=F378)*(Seguimientos!$B$2:$B$1013&gt;B378)*(Seguimientos!$H$2:$H$1013&lt;&gt;""))=0,1,0))</f>
        <v/>
      </c>
      <c r="K378" s="7">
        <f>A378&amp;"|"&amp;B378</f>
        <v/>
      </c>
      <c r="L378" s="13" t="inlineStr">
        <is>
          <t>Para la vigencia 2026, los recursos destinados a la calibración de equipos de investigación ya fueron asignados a la Dirección de Investigación. (se adjunta PDF con la solicitud por parte del proceso y la decisión SAC.)</t>
        </is>
      </c>
    </row>
    <row r="379">
      <c r="A379" s="7" t="inlineStr">
        <is>
          <t>sgc-2023-35</t>
        </is>
      </c>
      <c r="B379" s="7" t="n">
        <v>8</v>
      </c>
      <c r="C379" s="7" t="inlineStr">
        <is>
          <t>SGC</t>
        </is>
      </c>
      <c r="D379" s="7" t="inlineStr">
        <is>
          <t>2023</t>
        </is>
      </c>
      <c r="E379" s="7" t="n">
        <v>35</v>
      </c>
      <c r="F379" s="8" t="n">
        <v>46142</v>
      </c>
      <c r="G379" s="7" t="inlineStr">
        <is>
          <t>JOAN IMAYINNE GALVIS MORENO</t>
        </is>
      </c>
      <c r="H379" s="14" t="n">
        <v>2</v>
      </c>
      <c r="I379" s="15">
        <f>IF(H379="","",H379/2)</f>
        <v/>
      </c>
      <c r="J379" s="7">
        <f>IF(H379="",0,IF(SUMPRODUCT((Seguimientos!$A$2:$A$1013=A379)*(Seguimientos!$F$2:$F$1013=F379)*(Seguimientos!$B$2:$B$1013&gt;B379)*(Seguimientos!$H$2:$H$1013&lt;&gt;""))=0,1,0))</f>
        <v/>
      </c>
      <c r="K379" s="7">
        <f>A379&amp;"|"&amp;B379</f>
        <v/>
      </c>
      <c r="L379" s="13" t="inlineStr">
        <is>
          <t>ACTIVIDAD COMPLETADA</t>
        </is>
      </c>
    </row>
    <row r="380">
      <c r="A380" s="7" t="inlineStr">
        <is>
          <t>sgc-2023-35</t>
        </is>
      </c>
      <c r="B380" s="7" t="n">
        <v>9</v>
      </c>
      <c r="C380" s="7" t="inlineStr">
        <is>
          <t>SGC</t>
        </is>
      </c>
      <c r="D380" s="7" t="inlineStr">
        <is>
          <t>2023</t>
        </is>
      </c>
      <c r="E380" s="7" t="n">
        <v>35</v>
      </c>
      <c r="F380" s="8" t="n">
        <v>46203</v>
      </c>
      <c r="G380" s="7" t="inlineStr">
        <is>
          <t>JOAN IMAYINNE GALVIS MORENO</t>
        </is>
      </c>
      <c r="H380" s="14" t="n">
        <v>2</v>
      </c>
      <c r="I380" s="15">
        <f>IF(H380="","",H380/2)</f>
        <v/>
      </c>
      <c r="J380" s="7">
        <f>IF(H380="",0,IF(SUMPRODUCT((Seguimientos!$A$2:$A$1013=A380)*(Seguimientos!$F$2:$F$1013=F380)*(Seguimientos!$B$2:$B$1013&gt;B380)*(Seguimientos!$H$2:$H$1013&lt;&gt;""))=0,1,0))</f>
        <v/>
      </c>
      <c r="K380" s="7">
        <f>A380&amp;"|"&amp;B380</f>
        <v/>
      </c>
      <c r="L380" s="13" t="inlineStr">
        <is>
          <t>ACTIVIDAD COMPLETADA</t>
        </is>
      </c>
    </row>
    <row r="381">
      <c r="A381" s="7" t="inlineStr">
        <is>
          <t>sgc-2023-36</t>
        </is>
      </c>
      <c r="B381" s="7" t="n">
        <v>1</v>
      </c>
      <c r="C381" s="7" t="inlineStr">
        <is>
          <t>SGC</t>
        </is>
      </c>
      <c r="D381" s="7" t="inlineStr">
        <is>
          <t>2023</t>
        </is>
      </c>
      <c r="E381" s="7" t="n">
        <v>36</v>
      </c>
      <c r="F381" s="8" t="n">
        <v>45405</v>
      </c>
      <c r="G381" s="7" t="inlineStr">
        <is>
          <t>DANIEL EDUARDO SOTO BERNAL</t>
        </is>
      </c>
      <c r="H381" s="14" t="n">
        <v>0</v>
      </c>
      <c r="I381" s="15">
        <f>IF(H381="","",H381/2)</f>
        <v/>
      </c>
      <c r="J381" s="7">
        <f>IF(H381="",0,IF(SUMPRODUCT((Seguimientos!$A$2:$A$1013=A381)*(Seguimientos!$F$2:$F$1013=F381)*(Seguimientos!$B$2:$B$1013&gt;B381)*(Seguimientos!$H$2:$H$1013&lt;&gt;""))=0,1,0))</f>
        <v/>
      </c>
      <c r="K381" s="7">
        <f>A381&amp;"|"&amp;B381</f>
        <v/>
      </c>
      <c r="L381" s="13" t="inlineStr">
        <is>
          <t>Para la vigencia 2024, se adelantará la revisión del procedimiento y se presentarán sugerencias para su actualización. El objetivo es ajustar este procedimiento de manera clara en cuanto a la intervención de las áreas correspondientes, de acuerdo con la naturaleza del proyecto.</t>
        </is>
      </c>
    </row>
    <row r="382">
      <c r="A382" s="7" t="inlineStr">
        <is>
          <t>sgc-2023-36</t>
        </is>
      </c>
      <c r="B382" s="7" t="n">
        <v>2</v>
      </c>
      <c r="C382" s="7" t="inlineStr">
        <is>
          <t>SGC</t>
        </is>
      </c>
      <c r="D382" s="7" t="inlineStr">
        <is>
          <t>2023</t>
        </is>
      </c>
      <c r="E382" s="7" t="n">
        <v>36</v>
      </c>
      <c r="F382" s="8" t="n">
        <v>45497</v>
      </c>
      <c r="G382" s="7" t="inlineStr">
        <is>
          <t>DANIEL EDUARDO SOTO BERNAL</t>
        </is>
      </c>
      <c r="H382" s="14" t="n">
        <v>2</v>
      </c>
      <c r="I382" s="15">
        <f>IF(H382="","",H382/2)</f>
        <v/>
      </c>
      <c r="J382" s="7">
        <f>IF(H382="",0,IF(SUMPRODUCT((Seguimientos!$A$2:$A$1013=A382)*(Seguimientos!$F$2:$F$1013=F382)*(Seguimientos!$B$2:$B$1013&gt;B382)*(Seguimientos!$H$2:$H$1013&lt;&gt;""))=0,1,0))</f>
        <v/>
      </c>
      <c r="K382" s="7">
        <f>A382&amp;"|"&amp;B382</f>
        <v/>
      </c>
      <c r="L382" s="13" t="inlineStr">
        <is>
          <t>Para la vigencia 2024, se adelantará la revisión del procedimiento y se presentarán sugerencias para su actualización. El objetivo es ajustar este procedimiento de manera clara en cuanto a la intervención de las áreas correspondientes, de acuerdo con la naturaleza del proyecto. Se anexa Informe suscrito por la Jefe de Apoyo Académico y Directora de Planeación Institucional. Para la vigencia 2024 se adelantó actualización del procedimiento gestiona administrativa versión 20. Se anexa Informe suscrito por la jefe de Apoyo Académico.</t>
        </is>
      </c>
    </row>
    <row r="383">
      <c r="A383" s="7" t="inlineStr">
        <is>
          <t>sgc-2023-36</t>
        </is>
      </c>
      <c r="B383" s="7" t="n">
        <v>3</v>
      </c>
      <c r="C383" s="7" t="inlineStr">
        <is>
          <t>SGC</t>
        </is>
      </c>
      <c r="D383" s="7" t="inlineStr">
        <is>
          <t>2023</t>
        </is>
      </c>
      <c r="E383" s="7" t="n">
        <v>36</v>
      </c>
      <c r="F383" s="8" t="n">
        <v>45583</v>
      </c>
      <c r="G383" s="7" t="inlineStr">
        <is>
          <t>DANIEL EDUARDO SOTO BERNAL</t>
        </is>
      </c>
      <c r="H383" s="14" t="n">
        <v>2</v>
      </c>
      <c r="I383" s="15">
        <f>IF(H383="","",H383/2)</f>
        <v/>
      </c>
      <c r="J383" s="7">
        <f>IF(H383="",0,IF(SUMPRODUCT((Seguimientos!$A$2:$A$1013=A383)*(Seguimientos!$F$2:$F$1013=F383)*(Seguimientos!$B$2:$B$1013&gt;B383)*(Seguimientos!$H$2:$H$1013&lt;&gt;""))=0,1,0))</f>
        <v/>
      </c>
      <c r="K383" s="7">
        <f>A383&amp;"|"&amp;B383</f>
        <v/>
      </c>
      <c r="L383" s="13" t="inlineStr">
        <is>
          <t>ACTIVIDAD COMPLETADA</t>
        </is>
      </c>
    </row>
    <row r="384">
      <c r="A384" s="7" t="inlineStr">
        <is>
          <t>sgc-2023-36</t>
        </is>
      </c>
      <c r="B384" s="7" t="n">
        <v>4</v>
      </c>
      <c r="C384" s="7" t="inlineStr">
        <is>
          <t>SGC</t>
        </is>
      </c>
      <c r="D384" s="7" t="inlineStr">
        <is>
          <t>2023</t>
        </is>
      </c>
      <c r="E384" s="7" t="n">
        <v>36</v>
      </c>
      <c r="F384" s="8" t="n">
        <v>45777</v>
      </c>
      <c r="G384" s="7" t="inlineStr">
        <is>
          <t>DANIEL EDUARDO SOTO BERNAL</t>
        </is>
      </c>
      <c r="H384" s="14" t="n">
        <v>2</v>
      </c>
      <c r="I384" s="15">
        <f>IF(H384="","",H384/2)</f>
        <v/>
      </c>
      <c r="J384" s="7">
        <f>IF(H384="",0,IF(SUMPRODUCT((Seguimientos!$A$2:$A$1013=A384)*(Seguimientos!$F$2:$F$1013=F384)*(Seguimientos!$B$2:$B$1013&gt;B384)*(Seguimientos!$H$2:$H$1013&lt;&gt;""))=0,1,0))</f>
        <v/>
      </c>
      <c r="K384" s="7">
        <f>A384&amp;"|"&amp;B384</f>
        <v/>
      </c>
      <c r="L384" s="13" t="inlineStr">
        <is>
          <t>ACTIVIDAD COMPLETADA</t>
        </is>
      </c>
    </row>
    <row r="385">
      <c r="A385" s="7" t="inlineStr">
        <is>
          <t>sgc-2023-36</t>
        </is>
      </c>
      <c r="B385" s="7" t="n">
        <v>5</v>
      </c>
      <c r="C385" s="7" t="inlineStr">
        <is>
          <t>SGC</t>
        </is>
      </c>
      <c r="D385" s="7" t="inlineStr">
        <is>
          <t>2023</t>
        </is>
      </c>
      <c r="E385" s="7" t="n">
        <v>36</v>
      </c>
      <c r="F385" s="8" t="n">
        <v>45838</v>
      </c>
      <c r="G385" s="7" t="inlineStr">
        <is>
          <t>DANIEL EDUARDO SOTO BERNAL</t>
        </is>
      </c>
      <c r="H385" s="14" t="n">
        <v>2</v>
      </c>
      <c r="I385" s="15">
        <f>IF(H385="","",H385/2)</f>
        <v/>
      </c>
      <c r="J385" s="7">
        <f>IF(H385="",0,IF(SUMPRODUCT((Seguimientos!$A$2:$A$1013=A385)*(Seguimientos!$F$2:$F$1013=F385)*(Seguimientos!$B$2:$B$1013&gt;B385)*(Seguimientos!$H$2:$H$1013&lt;&gt;""))=0,1,0))</f>
        <v/>
      </c>
      <c r="K385" s="7">
        <f>A385&amp;"|"&amp;B385</f>
        <v/>
      </c>
      <c r="L385" s="13" t="inlineStr">
        <is>
          <t>ACTIVIDAD COMPLETADA</t>
        </is>
      </c>
    </row>
    <row r="386">
      <c r="A386" s="7" t="inlineStr">
        <is>
          <t>sgc-2023-36</t>
        </is>
      </c>
      <c r="B386" s="7" t="n">
        <v>6</v>
      </c>
      <c r="C386" s="7" t="inlineStr">
        <is>
          <t>SGC</t>
        </is>
      </c>
      <c r="D386" s="7" t="inlineStr">
        <is>
          <t>2023</t>
        </is>
      </c>
      <c r="E386" s="7" t="n">
        <v>36</v>
      </c>
      <c r="F386" s="8" t="n">
        <v>45930</v>
      </c>
      <c r="G386" s="7" t="inlineStr">
        <is>
          <t>JOAN IMAYINNE GALVIS MORENO</t>
        </is>
      </c>
      <c r="H386" s="14" t="n">
        <v>2</v>
      </c>
      <c r="I386" s="15">
        <f>IF(H386="","",H386/2)</f>
        <v/>
      </c>
      <c r="J386" s="7">
        <f>IF(H386="",0,IF(SUMPRODUCT((Seguimientos!$A$2:$A$1013=A386)*(Seguimientos!$F$2:$F$1013=F386)*(Seguimientos!$B$2:$B$1013&gt;B386)*(Seguimientos!$H$2:$H$1013&lt;&gt;""))=0,1,0))</f>
        <v/>
      </c>
      <c r="K386" s="7">
        <f>A386&amp;"|"&amp;B386</f>
        <v/>
      </c>
      <c r="L386" s="13" t="inlineStr">
        <is>
          <t>ACTIVIDAD COMPLETADA</t>
        </is>
      </c>
    </row>
    <row r="387">
      <c r="A387" s="7" t="inlineStr">
        <is>
          <t>sgc-2023-36</t>
        </is>
      </c>
      <c r="B387" s="7" t="n">
        <v>7</v>
      </c>
      <c r="C387" s="7" t="inlineStr">
        <is>
          <t>SGC</t>
        </is>
      </c>
      <c r="D387" s="7" t="inlineStr">
        <is>
          <t>2023</t>
        </is>
      </c>
      <c r="E387" s="7" t="n">
        <v>36</v>
      </c>
      <c r="F387" s="8" t="n">
        <v>46021</v>
      </c>
      <c r="G387" s="7" t="inlineStr">
        <is>
          <t>JOAN IMAYINNE GALVIS MORENO</t>
        </is>
      </c>
      <c r="H387" s="14" t="n">
        <v>2</v>
      </c>
      <c r="I387" s="15">
        <f>IF(H387="","",H387/2)</f>
        <v/>
      </c>
      <c r="J387" s="7">
        <f>IF(H387="",0,IF(SUMPRODUCT((Seguimientos!$A$2:$A$1013=A387)*(Seguimientos!$F$2:$F$1013=F387)*(Seguimientos!$B$2:$B$1013&gt;B387)*(Seguimientos!$H$2:$H$1013&lt;&gt;""))=0,1,0))</f>
        <v/>
      </c>
      <c r="K387" s="7">
        <f>A387&amp;"|"&amp;B387</f>
        <v/>
      </c>
      <c r="L387" s="13" t="inlineStr">
        <is>
          <t>ACTIVIDAD COMPLETADA</t>
        </is>
      </c>
    </row>
    <row r="388">
      <c r="A388" s="7" t="inlineStr">
        <is>
          <t>sgc-2023-36</t>
        </is>
      </c>
      <c r="B388" s="7" t="n">
        <v>8</v>
      </c>
      <c r="C388" s="7" t="inlineStr">
        <is>
          <t>SGC</t>
        </is>
      </c>
      <c r="D388" s="7" t="inlineStr">
        <is>
          <t>2023</t>
        </is>
      </c>
      <c r="E388" s="7" t="n">
        <v>36</v>
      </c>
      <c r="F388" s="8" t="n">
        <v>46142</v>
      </c>
      <c r="G388" s="7" t="inlineStr">
        <is>
          <t>JOAN IMAYINNE GALVIS MORENO</t>
        </is>
      </c>
      <c r="H388" s="14" t="n">
        <v>2</v>
      </c>
      <c r="I388" s="15">
        <f>IF(H388="","",H388/2)</f>
        <v/>
      </c>
      <c r="J388" s="7">
        <f>IF(H388="",0,IF(SUMPRODUCT((Seguimientos!$A$2:$A$1013=A388)*(Seguimientos!$F$2:$F$1013=F388)*(Seguimientos!$B$2:$B$1013&gt;B388)*(Seguimientos!$H$2:$H$1013&lt;&gt;""))=0,1,0))</f>
        <v/>
      </c>
      <c r="K388" s="7">
        <f>A388&amp;"|"&amp;B388</f>
        <v/>
      </c>
      <c r="L388" s="13" t="inlineStr">
        <is>
          <t>ACTIVIDAD COMPLETADA</t>
        </is>
      </c>
    </row>
    <row r="389">
      <c r="A389" s="7" t="inlineStr">
        <is>
          <t>sgc-2023-36</t>
        </is>
      </c>
      <c r="B389" s="7" t="n">
        <v>9</v>
      </c>
      <c r="C389" s="7" t="inlineStr">
        <is>
          <t>SGC</t>
        </is>
      </c>
      <c r="D389" s="7" t="inlineStr">
        <is>
          <t>2023</t>
        </is>
      </c>
      <c r="E389" s="7" t="n">
        <v>36</v>
      </c>
      <c r="F389" s="8" t="n">
        <v>46203</v>
      </c>
      <c r="G389" s="7" t="inlineStr">
        <is>
          <t>JOAN IMAYINNE GALVIS MORENO</t>
        </is>
      </c>
      <c r="H389" s="14" t="n">
        <v>2</v>
      </c>
      <c r="I389" s="15">
        <f>IF(H389="","",H389/2)</f>
        <v/>
      </c>
      <c r="J389" s="7">
        <f>IF(H389="",0,IF(SUMPRODUCT((Seguimientos!$A$2:$A$1013=A389)*(Seguimientos!$F$2:$F$1013=F389)*(Seguimientos!$B$2:$B$1013&gt;B389)*(Seguimientos!$H$2:$H$1013&lt;&gt;""))=0,1,0))</f>
        <v/>
      </c>
      <c r="K389" s="7">
        <f>A389&amp;"|"&amp;B389</f>
        <v/>
      </c>
      <c r="L389" s="13" t="inlineStr">
        <is>
          <t>ACTIVIDAD COMPLETADA</t>
        </is>
      </c>
    </row>
    <row r="390">
      <c r="A390" s="7" t="inlineStr">
        <is>
          <t>sgc-2023-37</t>
        </is>
      </c>
      <c r="B390" s="7" t="n">
        <v>1</v>
      </c>
      <c r="C390" s="7" t="inlineStr">
        <is>
          <t>SGC</t>
        </is>
      </c>
      <c r="D390" s="7" t="inlineStr">
        <is>
          <t>2023</t>
        </is>
      </c>
      <c r="E390" s="7" t="n">
        <v>37</v>
      </c>
      <c r="F390" s="8" t="n">
        <v>45405</v>
      </c>
      <c r="G390" s="7" t="inlineStr">
        <is>
          <t>DANIEL EDUARDO SOTO BERNAL</t>
        </is>
      </c>
      <c r="H390" s="14" t="n">
        <v>0</v>
      </c>
      <c r="I390" s="15">
        <f>IF(H390="","",H390/2)</f>
        <v/>
      </c>
      <c r="J390" s="7">
        <f>IF(H390="",0,IF(SUMPRODUCT((Seguimientos!$A$2:$A$1013=A390)*(Seguimientos!$F$2:$F$1013=F390)*(Seguimientos!$B$2:$B$1013&gt;B390)*(Seguimientos!$H$2:$H$1013&lt;&gt;""))=0,1,0))</f>
        <v/>
      </c>
      <c r="K390" s="7">
        <f>A390&amp;"|"&amp;B390</f>
        <v/>
      </c>
      <c r="L390" s="13" t="inlineStr">
        <is>
          <t>Actividad pendiente por cumplir, No soportan evidencia.</t>
        </is>
      </c>
    </row>
    <row r="391">
      <c r="A391" s="7" t="inlineStr">
        <is>
          <t>sgc-2023-37</t>
        </is>
      </c>
      <c r="B391" s="7" t="n">
        <v>2</v>
      </c>
      <c r="C391" s="7" t="inlineStr">
        <is>
          <t>SGC</t>
        </is>
      </c>
      <c r="D391" s="7" t="inlineStr">
        <is>
          <t>2023</t>
        </is>
      </c>
      <c r="E391" s="7" t="n">
        <v>37</v>
      </c>
      <c r="F391" s="8" t="n">
        <v>45497</v>
      </c>
      <c r="G391" s="7" t="inlineStr">
        <is>
          <t>DANIEL EDUARDO SOTO BERNAL</t>
        </is>
      </c>
      <c r="H391" s="14" t="n">
        <v>1</v>
      </c>
      <c r="I391" s="15">
        <f>IF(H391="","",H391/2)</f>
        <v/>
      </c>
      <c r="J391" s="7">
        <f>IF(H391="",0,IF(SUMPRODUCT((Seguimientos!$A$2:$A$1013=A391)*(Seguimientos!$F$2:$F$1013=F391)*(Seguimientos!$B$2:$B$1013&gt;B391)*(Seguimientos!$H$2:$H$1013&lt;&gt;""))=0,1,0))</f>
        <v/>
      </c>
      <c r="K391" s="7">
        <f>A391&amp;"|"&amp;B391</f>
        <v/>
      </c>
      <c r="L391" s="13" t="inlineStr">
        <is>
          <t>Para la vigencia 2024, fueron socializados los resultados de la Encuesta de satisfacción del primer periodo académico en la comisión de control interno realizada el día 11 de julio; así mismo, fueron compartidos el informe de resultados junto a las bases de datos que contienen los aspectos de mejora.</t>
        </is>
      </c>
    </row>
    <row r="392">
      <c r="A392" s="7" t="inlineStr">
        <is>
          <t>sgc-2023-37</t>
        </is>
      </c>
      <c r="B392" s="7" t="n">
        <v>3</v>
      </c>
      <c r="C392" s="7" t="inlineStr">
        <is>
          <t>SGC</t>
        </is>
      </c>
      <c r="D392" s="7" t="inlineStr">
        <is>
          <t>2023</t>
        </is>
      </c>
      <c r="E392" s="7" t="n">
        <v>37</v>
      </c>
      <c r="F392" s="8" t="n">
        <v>45583</v>
      </c>
      <c r="G392" s="7" t="inlineStr">
        <is>
          <t>DANIEL EDUARDO SOTO BERNAL</t>
        </is>
      </c>
      <c r="H392" s="14" t="n">
        <v>2</v>
      </c>
      <c r="I392" s="15">
        <f>IF(H392="","",H392/2)</f>
        <v/>
      </c>
      <c r="J392" s="7">
        <f>IF(H392="",0,IF(SUMPRODUCT((Seguimientos!$A$2:$A$1013=A392)*(Seguimientos!$F$2:$F$1013=F392)*(Seguimientos!$B$2:$B$1013&gt;B392)*(Seguimientos!$H$2:$H$1013&lt;&gt;""))=0,1,0))</f>
        <v/>
      </c>
      <c r="K392" s="7">
        <f>A392&amp;"|"&amp;B392</f>
        <v/>
      </c>
      <c r="L392" s="13" t="inlineStr">
        <is>
          <t>Se realizó socialización de los resultados a todos los procesos implicados a través de correos electrónicos donde se comparten el informe de resultados y las bases de datos con los aspectos de mejora; así mismo, los resultados fueron socializados en la comisión de Control Interno y la Comisión de Desempeño Institucional.</t>
        </is>
      </c>
    </row>
    <row r="393">
      <c r="A393" s="7" t="inlineStr">
        <is>
          <t>sgc-2023-37</t>
        </is>
      </c>
      <c r="B393" s="7" t="n">
        <v>4</v>
      </c>
      <c r="C393" s="7" t="inlineStr">
        <is>
          <t>SGC</t>
        </is>
      </c>
      <c r="D393" s="7" t="inlineStr">
        <is>
          <t>2023</t>
        </is>
      </c>
      <c r="E393" s="7" t="n">
        <v>37</v>
      </c>
      <c r="F393" s="8" t="n">
        <v>45777</v>
      </c>
      <c r="G393" s="7" t="inlineStr">
        <is>
          <t>DANIEL EDUARDO SOTO BERNAL</t>
        </is>
      </c>
      <c r="H393" s="14" t="n">
        <v>2</v>
      </c>
      <c r="I393" s="15">
        <f>IF(H393="","",H393/2)</f>
        <v/>
      </c>
      <c r="J393" s="7">
        <f>IF(H393="",0,IF(SUMPRODUCT((Seguimientos!$A$2:$A$1013=A393)*(Seguimientos!$F$2:$F$1013=F393)*(Seguimientos!$B$2:$B$1013&gt;B393)*(Seguimientos!$H$2:$H$1013&lt;&gt;""))=0,1,0))</f>
        <v/>
      </c>
      <c r="K393" s="7">
        <f>A393&amp;"|"&amp;B393</f>
        <v/>
      </c>
      <c r="L393" s="13" t="inlineStr">
        <is>
          <t>ACTIVIDAD COMPLETADA</t>
        </is>
      </c>
    </row>
    <row r="394">
      <c r="A394" s="7" t="inlineStr">
        <is>
          <t>sgc-2023-37</t>
        </is>
      </c>
      <c r="B394" s="7" t="n">
        <v>5</v>
      </c>
      <c r="C394" s="7" t="inlineStr">
        <is>
          <t>SGC</t>
        </is>
      </c>
      <c r="D394" s="7" t="inlineStr">
        <is>
          <t>2023</t>
        </is>
      </c>
      <c r="E394" s="7" t="n">
        <v>37</v>
      </c>
      <c r="F394" s="8" t="n">
        <v>45838</v>
      </c>
      <c r="G394" s="7" t="inlineStr">
        <is>
          <t>DANIEL EDUARDO SOTO BERNAL</t>
        </is>
      </c>
      <c r="H394" s="14" t="n">
        <v>2</v>
      </c>
      <c r="I394" s="15">
        <f>IF(H394="","",H394/2)</f>
        <v/>
      </c>
      <c r="J394" s="7">
        <f>IF(H394="",0,IF(SUMPRODUCT((Seguimientos!$A$2:$A$1013=A394)*(Seguimientos!$F$2:$F$1013=F394)*(Seguimientos!$B$2:$B$1013&gt;B394)*(Seguimientos!$H$2:$H$1013&lt;&gt;""))=0,1,0))</f>
        <v/>
      </c>
      <c r="K394" s="7">
        <f>A394&amp;"|"&amp;B394</f>
        <v/>
      </c>
      <c r="L394" s="13" t="inlineStr">
        <is>
          <t>ACTIVIDAD COMPLETADA</t>
        </is>
      </c>
    </row>
    <row r="395">
      <c r="A395" s="7" t="inlineStr">
        <is>
          <t>sgc-2023-37</t>
        </is>
      </c>
      <c r="B395" s="7" t="n">
        <v>6</v>
      </c>
      <c r="C395" s="7" t="inlineStr">
        <is>
          <t>SGC</t>
        </is>
      </c>
      <c r="D395" s="7" t="inlineStr">
        <is>
          <t>2023</t>
        </is>
      </c>
      <c r="E395" s="7" t="n">
        <v>37</v>
      </c>
      <c r="F395" s="8" t="n">
        <v>45930</v>
      </c>
      <c r="G395" s="7" t="inlineStr">
        <is>
          <t>JOAN IMAYINNE GALVIS MORENO</t>
        </is>
      </c>
      <c r="H395" s="14" t="n">
        <v>2</v>
      </c>
      <c r="I395" s="15">
        <f>IF(H395="","",H395/2)</f>
        <v/>
      </c>
      <c r="J395" s="7">
        <f>IF(H395="",0,IF(SUMPRODUCT((Seguimientos!$A$2:$A$1013=A395)*(Seguimientos!$F$2:$F$1013=F395)*(Seguimientos!$B$2:$B$1013&gt;B395)*(Seguimientos!$H$2:$H$1013&lt;&gt;""))=0,1,0))</f>
        <v/>
      </c>
      <c r="K395" s="7">
        <f>A395&amp;"|"&amp;B395</f>
        <v/>
      </c>
      <c r="L395" s="13" t="inlineStr">
        <is>
          <t>ACTIVIDAD COMPLETADA</t>
        </is>
      </c>
    </row>
    <row r="396">
      <c r="A396" s="7" t="inlineStr">
        <is>
          <t>sgc-2023-37</t>
        </is>
      </c>
      <c r="B396" s="7" t="n">
        <v>7</v>
      </c>
      <c r="C396" s="7" t="inlineStr">
        <is>
          <t>SGC</t>
        </is>
      </c>
      <c r="D396" s="7" t="inlineStr">
        <is>
          <t>2023</t>
        </is>
      </c>
      <c r="E396" s="7" t="n">
        <v>37</v>
      </c>
      <c r="F396" s="8" t="n">
        <v>46021</v>
      </c>
      <c r="G396" s="7" t="inlineStr">
        <is>
          <t>JOAN IMAYINNE GALVIS MORENO</t>
        </is>
      </c>
      <c r="H396" s="14" t="n">
        <v>2</v>
      </c>
      <c r="I396" s="15">
        <f>IF(H396="","",H396/2)</f>
        <v/>
      </c>
      <c r="J396" s="7">
        <f>IF(H396="",0,IF(SUMPRODUCT((Seguimientos!$A$2:$A$1013=A396)*(Seguimientos!$F$2:$F$1013=F396)*(Seguimientos!$B$2:$B$1013&gt;B396)*(Seguimientos!$H$2:$H$1013&lt;&gt;""))=0,1,0))</f>
        <v/>
      </c>
      <c r="K396" s="7">
        <f>A396&amp;"|"&amp;B396</f>
        <v/>
      </c>
      <c r="L396" s="13" t="inlineStr">
        <is>
          <t>ACTIVIDAD COMPLETADA</t>
        </is>
      </c>
    </row>
    <row r="397">
      <c r="A397" s="7" t="inlineStr">
        <is>
          <t>sgc-2023-37</t>
        </is>
      </c>
      <c r="B397" s="7" t="n">
        <v>8</v>
      </c>
      <c r="C397" s="7" t="inlineStr">
        <is>
          <t>SGC</t>
        </is>
      </c>
      <c r="D397" s="7" t="inlineStr">
        <is>
          <t>2023</t>
        </is>
      </c>
      <c r="E397" s="7" t="n">
        <v>37</v>
      </c>
      <c r="F397" s="8" t="n">
        <v>46142</v>
      </c>
      <c r="G397" s="7" t="inlineStr">
        <is>
          <t>JOAN IMAYINNE GALVIS MORENO</t>
        </is>
      </c>
      <c r="H397" s="14" t="n">
        <v>2</v>
      </c>
      <c r="I397" s="15">
        <f>IF(H397="","",H397/2)</f>
        <v/>
      </c>
      <c r="J397" s="7">
        <f>IF(H397="",0,IF(SUMPRODUCT((Seguimientos!$A$2:$A$1013=A397)*(Seguimientos!$F$2:$F$1013=F397)*(Seguimientos!$B$2:$B$1013&gt;B397)*(Seguimientos!$H$2:$H$1013&lt;&gt;""))=0,1,0))</f>
        <v/>
      </c>
      <c r="K397" s="7">
        <f>A397&amp;"|"&amp;B397</f>
        <v/>
      </c>
      <c r="L397" s="13" t="inlineStr">
        <is>
          <t>ACTIVIDAD COMPLETADA</t>
        </is>
      </c>
    </row>
    <row r="398">
      <c r="A398" s="7" t="inlineStr">
        <is>
          <t>sgc-2023-37</t>
        </is>
      </c>
      <c r="B398" s="7" t="n">
        <v>9</v>
      </c>
      <c r="C398" s="7" t="inlineStr">
        <is>
          <t>SGC</t>
        </is>
      </c>
      <c r="D398" s="7" t="inlineStr">
        <is>
          <t>2023</t>
        </is>
      </c>
      <c r="E398" s="7" t="n">
        <v>37</v>
      </c>
      <c r="F398" s="8" t="n">
        <v>46203</v>
      </c>
      <c r="G398" s="7" t="inlineStr">
        <is>
          <t>JOAN IMAYINNE GALVIS MORENO</t>
        </is>
      </c>
      <c r="H398" s="14" t="n">
        <v>2</v>
      </c>
      <c r="I398" s="15">
        <f>IF(H398="","",H398/2)</f>
        <v/>
      </c>
      <c r="J398" s="7">
        <f>IF(H398="",0,IF(SUMPRODUCT((Seguimientos!$A$2:$A$1013=A398)*(Seguimientos!$F$2:$F$1013=F398)*(Seguimientos!$B$2:$B$1013&gt;B398)*(Seguimientos!$H$2:$H$1013&lt;&gt;""))=0,1,0))</f>
        <v/>
      </c>
      <c r="K398" s="7">
        <f>A398&amp;"|"&amp;B398</f>
        <v/>
      </c>
      <c r="L398" s="13" t="inlineStr">
        <is>
          <t>ACTIVIDAD COMPLETADA</t>
        </is>
      </c>
    </row>
    <row r="399">
      <c r="A399" s="7" t="inlineStr">
        <is>
          <t>sgc-2023-38</t>
        </is>
      </c>
      <c r="B399" s="7" t="n">
        <v>1</v>
      </c>
      <c r="C399" s="7" t="inlineStr">
        <is>
          <t>SGC</t>
        </is>
      </c>
      <c r="D399" s="7" t="inlineStr">
        <is>
          <t>2023</t>
        </is>
      </c>
      <c r="E399" s="7" t="n">
        <v>38</v>
      </c>
      <c r="F399" s="8" t="n">
        <v>45405</v>
      </c>
      <c r="G399" s="7" t="inlineStr">
        <is>
          <t>DANIEL EDUARDO SOTO BERNAL</t>
        </is>
      </c>
      <c r="H399" s="14" t="n">
        <v>0</v>
      </c>
      <c r="I399" s="15">
        <f>IF(H399="","",H399/2)</f>
        <v/>
      </c>
      <c r="J399" s="7">
        <f>IF(H399="",0,IF(SUMPRODUCT((Seguimientos!$A$2:$A$1013=A399)*(Seguimientos!$F$2:$F$1013=F399)*(Seguimientos!$B$2:$B$1013&gt;B399)*(Seguimientos!$H$2:$H$1013&lt;&gt;""))=0,1,0))</f>
        <v/>
      </c>
      <c r="K399" s="7">
        <f>A399&amp;"|"&amp;B399</f>
        <v/>
      </c>
      <c r="L399" s="13" t="inlineStr">
        <is>
          <t>Actividad pendiente por cumplir, No soportan evidencia.</t>
        </is>
      </c>
    </row>
    <row r="400">
      <c r="A400" s="7" t="inlineStr">
        <is>
          <t>sgc-2023-38</t>
        </is>
      </c>
      <c r="B400" s="7" t="n">
        <v>2</v>
      </c>
      <c r="C400" s="7" t="inlineStr">
        <is>
          <t>SGC</t>
        </is>
      </c>
      <c r="D400" s="7" t="inlineStr">
        <is>
          <t>2023</t>
        </is>
      </c>
      <c r="E400" s="7" t="n">
        <v>38</v>
      </c>
      <c r="F400" s="8" t="n">
        <v>45497</v>
      </c>
      <c r="G400" s="7" t="inlineStr">
        <is>
          <t>DANIEL EDUARDO SOTO BERNAL</t>
        </is>
      </c>
      <c r="H400" s="14" t="n">
        <v>1</v>
      </c>
      <c r="I400" s="15">
        <f>IF(H400="","",H400/2)</f>
        <v/>
      </c>
      <c r="J400" s="7">
        <f>IF(H400="",0,IF(SUMPRODUCT((Seguimientos!$A$2:$A$1013=A400)*(Seguimientos!$F$2:$F$1013=F400)*(Seguimientos!$B$2:$B$1013&gt;B400)*(Seguimientos!$H$2:$H$1013&lt;&gt;""))=0,1,0))</f>
        <v/>
      </c>
      <c r="K400" s="7">
        <f>A400&amp;"|"&amp;B400</f>
        <v/>
      </c>
      <c r="L400" s="13" t="inlineStr">
        <is>
          <t>Se solicita a la Dirección de Talento Humano realizar el análisis de tendencia, evidenciando el fortalecimiento en programas de capacitantes y desarrollo en nuevas competencias, en cambio anexa piezas gráficas y solicitudes de capacitaciones, la actividad se encuentra en curso.</t>
        </is>
      </c>
    </row>
    <row r="401">
      <c r="A401" s="7" t="inlineStr">
        <is>
          <t>sgc-2023-38</t>
        </is>
      </c>
      <c r="B401" s="7" t="n">
        <v>3</v>
      </c>
      <c r="C401" s="7" t="inlineStr">
        <is>
          <t>SGC</t>
        </is>
      </c>
      <c r="D401" s="7" t="inlineStr">
        <is>
          <t>2023</t>
        </is>
      </c>
      <c r="E401" s="7" t="n">
        <v>38</v>
      </c>
      <c r="F401" s="8" t="n">
        <v>45583</v>
      </c>
      <c r="G401" s="7" t="inlineStr">
        <is>
          <t>DANIEL EDUARDO SOTO BERNAL</t>
        </is>
      </c>
      <c r="H401" s="14" t="n">
        <v>2</v>
      </c>
      <c r="I401" s="15">
        <f>IF(H401="","",H401/2)</f>
        <v/>
      </c>
      <c r="J401" s="7">
        <f>IF(H401="",0,IF(SUMPRODUCT((Seguimientos!$A$2:$A$1013=A401)*(Seguimientos!$F$2:$F$1013=F401)*(Seguimientos!$B$2:$B$1013&gt;B401)*(Seguimientos!$H$2:$H$1013&lt;&gt;""))=0,1,0))</f>
        <v/>
      </c>
      <c r="K401" s="7">
        <f>A401&amp;"|"&amp;B401</f>
        <v/>
      </c>
      <c r="L401" s="13" t="inlineStr">
        <is>
          <t>Se evidencia en el plan anual de capacitación 2024 definición de líneas temáticas para el desarrollo de nuevas competencias y habilidades.</t>
        </is>
      </c>
    </row>
    <row r="402">
      <c r="A402" s="7" t="inlineStr">
        <is>
          <t>sgc-2023-38</t>
        </is>
      </c>
      <c r="B402" s="7" t="n">
        <v>4</v>
      </c>
      <c r="C402" s="7" t="inlineStr">
        <is>
          <t>SGC</t>
        </is>
      </c>
      <c r="D402" s="7" t="inlineStr">
        <is>
          <t>2023</t>
        </is>
      </c>
      <c r="E402" s="7" t="n">
        <v>38</v>
      </c>
      <c r="F402" s="8" t="n">
        <v>45777</v>
      </c>
      <c r="G402" s="7" t="inlineStr">
        <is>
          <t>DANIEL EDUARDO SOTO BERNAL</t>
        </is>
      </c>
      <c r="H402" s="14" t="n">
        <v>2</v>
      </c>
      <c r="I402" s="15">
        <f>IF(H402="","",H402/2)</f>
        <v/>
      </c>
      <c r="J402" s="7">
        <f>IF(H402="",0,IF(SUMPRODUCT((Seguimientos!$A$2:$A$1013=A402)*(Seguimientos!$F$2:$F$1013=F402)*(Seguimientos!$B$2:$B$1013&gt;B402)*(Seguimientos!$H$2:$H$1013&lt;&gt;""))=0,1,0))</f>
        <v/>
      </c>
      <c r="K402" s="7">
        <f>A402&amp;"|"&amp;B402</f>
        <v/>
      </c>
      <c r="L402" s="13" t="inlineStr">
        <is>
          <t>ACTIVIDAD COMPLETADA</t>
        </is>
      </c>
    </row>
    <row r="403">
      <c r="A403" s="7" t="inlineStr">
        <is>
          <t>sgc-2023-38</t>
        </is>
      </c>
      <c r="B403" s="7" t="n">
        <v>5</v>
      </c>
      <c r="C403" s="7" t="inlineStr">
        <is>
          <t>SGC</t>
        </is>
      </c>
      <c r="D403" s="7" t="inlineStr">
        <is>
          <t>2023</t>
        </is>
      </c>
      <c r="E403" s="7" t="n">
        <v>38</v>
      </c>
      <c r="F403" s="8" t="n">
        <v>45838</v>
      </c>
      <c r="G403" s="7" t="inlineStr">
        <is>
          <t>DANIEL EDUARDO SOTO BERNAL</t>
        </is>
      </c>
      <c r="H403" s="14" t="n">
        <v>2</v>
      </c>
      <c r="I403" s="15">
        <f>IF(H403="","",H403/2)</f>
        <v/>
      </c>
      <c r="J403" s="7">
        <f>IF(H403="",0,IF(SUMPRODUCT((Seguimientos!$A$2:$A$1013=A403)*(Seguimientos!$F$2:$F$1013=F403)*(Seguimientos!$B$2:$B$1013&gt;B403)*(Seguimientos!$H$2:$H$1013&lt;&gt;""))=0,1,0))</f>
        <v/>
      </c>
      <c r="K403" s="7">
        <f>A403&amp;"|"&amp;B403</f>
        <v/>
      </c>
      <c r="L403" s="13" t="inlineStr">
        <is>
          <t>ACTIVIDAD COMPLETADA</t>
        </is>
      </c>
    </row>
    <row r="404">
      <c r="A404" s="7" t="inlineStr">
        <is>
          <t>sgc-2023-38</t>
        </is>
      </c>
      <c r="B404" s="7" t="n">
        <v>6</v>
      </c>
      <c r="C404" s="7" t="inlineStr">
        <is>
          <t>SGC</t>
        </is>
      </c>
      <c r="D404" s="7" t="inlineStr">
        <is>
          <t>2023</t>
        </is>
      </c>
      <c r="E404" s="7" t="n">
        <v>38</v>
      </c>
      <c r="F404" s="8" t="n">
        <v>45930</v>
      </c>
      <c r="G404" s="7" t="inlineStr">
        <is>
          <t>JOAN IMAYINNE GALVIS MORENO</t>
        </is>
      </c>
      <c r="H404" s="14" t="n">
        <v>2</v>
      </c>
      <c r="I404" s="15">
        <f>IF(H404="","",H404/2)</f>
        <v/>
      </c>
      <c r="J404" s="7">
        <f>IF(H404="",0,IF(SUMPRODUCT((Seguimientos!$A$2:$A$1013=A404)*(Seguimientos!$F$2:$F$1013=F404)*(Seguimientos!$B$2:$B$1013&gt;B404)*(Seguimientos!$H$2:$H$1013&lt;&gt;""))=0,1,0))</f>
        <v/>
      </c>
      <c r="K404" s="7">
        <f>A404&amp;"|"&amp;B404</f>
        <v/>
      </c>
      <c r="L404" s="13" t="inlineStr">
        <is>
          <t>ACTIVIDAD COMPLETADA</t>
        </is>
      </c>
    </row>
    <row r="405">
      <c r="A405" s="7" t="inlineStr">
        <is>
          <t>sgc-2023-38</t>
        </is>
      </c>
      <c r="B405" s="7" t="n">
        <v>7</v>
      </c>
      <c r="C405" s="7" t="inlineStr">
        <is>
          <t>SGC</t>
        </is>
      </c>
      <c r="D405" s="7" t="inlineStr">
        <is>
          <t>2023</t>
        </is>
      </c>
      <c r="E405" s="7" t="n">
        <v>38</v>
      </c>
      <c r="F405" s="8" t="n">
        <v>46021</v>
      </c>
      <c r="G405" s="7" t="inlineStr">
        <is>
          <t>JOAN IMAYINNE GALVIS MORENO</t>
        </is>
      </c>
      <c r="H405" s="14" t="n">
        <v>2</v>
      </c>
      <c r="I405" s="15">
        <f>IF(H405="","",H405/2)</f>
        <v/>
      </c>
      <c r="J405" s="7">
        <f>IF(H405="",0,IF(SUMPRODUCT((Seguimientos!$A$2:$A$1013=A405)*(Seguimientos!$F$2:$F$1013=F405)*(Seguimientos!$B$2:$B$1013&gt;B405)*(Seguimientos!$H$2:$H$1013&lt;&gt;""))=0,1,0))</f>
        <v/>
      </c>
      <c r="K405" s="7">
        <f>A405&amp;"|"&amp;B405</f>
        <v/>
      </c>
      <c r="L405" s="13" t="inlineStr">
        <is>
          <t>ACTIVIDAD COMPLETADA</t>
        </is>
      </c>
    </row>
    <row r="406">
      <c r="A406" s="7" t="inlineStr">
        <is>
          <t>sgc-2023-38</t>
        </is>
      </c>
      <c r="B406" s="7" t="n">
        <v>8</v>
      </c>
      <c r="C406" s="7" t="inlineStr">
        <is>
          <t>SGC</t>
        </is>
      </c>
      <c r="D406" s="7" t="inlineStr">
        <is>
          <t>2023</t>
        </is>
      </c>
      <c r="E406" s="7" t="n">
        <v>38</v>
      </c>
      <c r="F406" s="8" t="n">
        <v>46142</v>
      </c>
      <c r="G406" s="7" t="inlineStr">
        <is>
          <t>JOAN IMAYINNE GALVIS MORENO</t>
        </is>
      </c>
      <c r="H406" s="14" t="n">
        <v>2</v>
      </c>
      <c r="I406" s="15">
        <f>IF(H406="","",H406/2)</f>
        <v/>
      </c>
      <c r="J406" s="7">
        <f>IF(H406="",0,IF(SUMPRODUCT((Seguimientos!$A$2:$A$1013=A406)*(Seguimientos!$F$2:$F$1013=F406)*(Seguimientos!$B$2:$B$1013&gt;B406)*(Seguimientos!$H$2:$H$1013&lt;&gt;""))=0,1,0))</f>
        <v/>
      </c>
      <c r="K406" s="7">
        <f>A406&amp;"|"&amp;B406</f>
        <v/>
      </c>
      <c r="L406" s="13" t="inlineStr">
        <is>
          <t>ACTIVIDAD COMPLETADA</t>
        </is>
      </c>
    </row>
    <row r="407">
      <c r="A407" s="7" t="inlineStr">
        <is>
          <t>sgc-2023-38</t>
        </is>
      </c>
      <c r="B407" s="7" t="n">
        <v>9</v>
      </c>
      <c r="C407" s="7" t="inlineStr">
        <is>
          <t>SGC</t>
        </is>
      </c>
      <c r="D407" s="7" t="inlineStr">
        <is>
          <t>2023</t>
        </is>
      </c>
      <c r="E407" s="7" t="n">
        <v>38</v>
      </c>
      <c r="F407" s="8" t="n">
        <v>46203</v>
      </c>
      <c r="G407" s="7" t="inlineStr">
        <is>
          <t>JOAN IMAYINNE GALVIS MORENO</t>
        </is>
      </c>
      <c r="H407" s="14" t="n">
        <v>2</v>
      </c>
      <c r="I407" s="15">
        <f>IF(H407="","",H407/2)</f>
        <v/>
      </c>
      <c r="J407" s="7">
        <f>IF(H407="",0,IF(SUMPRODUCT((Seguimientos!$A$2:$A$1013=A407)*(Seguimientos!$F$2:$F$1013=F407)*(Seguimientos!$B$2:$B$1013&gt;B407)*(Seguimientos!$H$2:$H$1013&lt;&gt;""))=0,1,0))</f>
        <v/>
      </c>
      <c r="K407" s="7">
        <f>A407&amp;"|"&amp;B407</f>
        <v/>
      </c>
      <c r="L407" s="13" t="inlineStr">
        <is>
          <t>ACTIVIDAD COMPLETADA</t>
        </is>
      </c>
    </row>
    <row r="408">
      <c r="A408" s="7" t="inlineStr">
        <is>
          <t>sgc-2023-39</t>
        </is>
      </c>
      <c r="B408" s="7" t="n">
        <v>1</v>
      </c>
      <c r="C408" s="7" t="inlineStr">
        <is>
          <t>SGC</t>
        </is>
      </c>
      <c r="D408" s="7" t="inlineStr">
        <is>
          <t>2023</t>
        </is>
      </c>
      <c r="E408" s="7" t="n">
        <v>39</v>
      </c>
      <c r="F408" s="8" t="n">
        <v>45405</v>
      </c>
      <c r="G408" s="7" t="inlineStr">
        <is>
          <t>DANIEL EDUARDO SOTO BERNAL</t>
        </is>
      </c>
      <c r="H408" s="14" t="n">
        <v>0</v>
      </c>
      <c r="I408" s="15">
        <f>IF(H408="","",H408/2)</f>
        <v/>
      </c>
      <c r="J408" s="7">
        <f>IF(H408="",0,IF(SUMPRODUCT((Seguimientos!$A$2:$A$1013=A408)*(Seguimientos!$F$2:$F$1013=F408)*(Seguimientos!$B$2:$B$1013&gt;B408)*(Seguimientos!$H$2:$H$1013&lt;&gt;""))=0,1,0))</f>
        <v/>
      </c>
      <c r="K408" s="7">
        <f>A408&amp;"|"&amp;B408</f>
        <v/>
      </c>
      <c r="L408" s="13" t="inlineStr">
        <is>
          <t>Actividad pendiente por cumplir, No soportan evidencia.</t>
        </is>
      </c>
    </row>
    <row r="409">
      <c r="A409" s="7" t="inlineStr">
        <is>
          <t>sgc-2023-39</t>
        </is>
      </c>
      <c r="B409" s="7" t="n">
        <v>2</v>
      </c>
      <c r="C409" s="7" t="inlineStr">
        <is>
          <t>SGC</t>
        </is>
      </c>
      <c r="D409" s="7" t="inlineStr">
        <is>
          <t>2023</t>
        </is>
      </c>
      <c r="E409" s="7" t="n">
        <v>39</v>
      </c>
      <c r="F409" s="8" t="n">
        <v>45497</v>
      </c>
      <c r="G409" s="7" t="inlineStr">
        <is>
          <t>DANIEL EDUARDO SOTO BERNAL</t>
        </is>
      </c>
      <c r="H409" s="14" t="n">
        <v>2</v>
      </c>
      <c r="I409" s="15">
        <f>IF(H409="","",H409/2)</f>
        <v/>
      </c>
      <c r="J409" s="7">
        <f>IF(H409="",0,IF(SUMPRODUCT((Seguimientos!$A$2:$A$1013=A409)*(Seguimientos!$F$2:$F$1013=F409)*(Seguimientos!$B$2:$B$1013&gt;B409)*(Seguimientos!$H$2:$H$1013&lt;&gt;""))=0,1,0))</f>
        <v/>
      </c>
      <c r="K409" s="7">
        <f>A409&amp;"|"&amp;B409</f>
        <v/>
      </c>
      <c r="L409" s="13" t="inlineStr">
        <is>
          <t>La Dirección de Talento Humano evidencia PLAN DE BIENESTAR, ESTIMULOS E INCENTIVOS , donde especifica los estímulos que se generan para el bienestar de los servidores públicos de la Universidad, también adjunta evidencias de las actividades ya realizadas y la premiación entregada.</t>
        </is>
      </c>
    </row>
    <row r="410">
      <c r="A410" s="7" t="inlineStr">
        <is>
          <t>sgc-2023-39</t>
        </is>
      </c>
      <c r="B410" s="7" t="n">
        <v>3</v>
      </c>
      <c r="C410" s="7" t="inlineStr">
        <is>
          <t>SGC</t>
        </is>
      </c>
      <c r="D410" s="7" t="inlineStr">
        <is>
          <t>2023</t>
        </is>
      </c>
      <c r="E410" s="7" t="n">
        <v>39</v>
      </c>
      <c r="F410" s="8" t="n">
        <v>45583</v>
      </c>
      <c r="G410" s="7" t="inlineStr">
        <is>
          <t>DANIEL EDUARDO SOTO BERNAL</t>
        </is>
      </c>
      <c r="H410" s="14" t="n">
        <v>2</v>
      </c>
      <c r="I410" s="15">
        <f>IF(H410="","",H410/2)</f>
        <v/>
      </c>
      <c r="J410" s="7">
        <f>IF(H410="",0,IF(SUMPRODUCT((Seguimientos!$A$2:$A$1013=A410)*(Seguimientos!$F$2:$F$1013=F410)*(Seguimientos!$B$2:$B$1013&gt;B410)*(Seguimientos!$H$2:$H$1013&lt;&gt;""))=0,1,0))</f>
        <v/>
      </c>
      <c r="K410" s="7">
        <f>A410&amp;"|"&amp;B410</f>
        <v/>
      </c>
      <c r="L410" s="13" t="inlineStr">
        <is>
          <t>ACTIVIDAD COMPLETADA</t>
        </is>
      </c>
    </row>
    <row r="411">
      <c r="A411" s="7" t="inlineStr">
        <is>
          <t>sgc-2023-39</t>
        </is>
      </c>
      <c r="B411" s="7" t="n">
        <v>4</v>
      </c>
      <c r="C411" s="7" t="inlineStr">
        <is>
          <t>SGC</t>
        </is>
      </c>
      <c r="D411" s="7" t="inlineStr">
        <is>
          <t>2023</t>
        </is>
      </c>
      <c r="E411" s="7" t="n">
        <v>39</v>
      </c>
      <c r="F411" s="8" t="n">
        <v>45777</v>
      </c>
      <c r="G411" s="7" t="inlineStr">
        <is>
          <t>DANIEL EDUARDO SOTO BERNAL</t>
        </is>
      </c>
      <c r="H411" s="14" t="n">
        <v>2</v>
      </c>
      <c r="I411" s="15">
        <f>IF(H411="","",H411/2)</f>
        <v/>
      </c>
      <c r="J411" s="7">
        <f>IF(H411="",0,IF(SUMPRODUCT((Seguimientos!$A$2:$A$1013=A411)*(Seguimientos!$F$2:$F$1013=F411)*(Seguimientos!$B$2:$B$1013&gt;B411)*(Seguimientos!$H$2:$H$1013&lt;&gt;""))=0,1,0))</f>
        <v/>
      </c>
      <c r="K411" s="7">
        <f>A411&amp;"|"&amp;B411</f>
        <v/>
      </c>
      <c r="L411" s="13" t="inlineStr">
        <is>
          <t>ACTIVIDAD COMPLETADA</t>
        </is>
      </c>
    </row>
    <row r="412">
      <c r="A412" s="7" t="inlineStr">
        <is>
          <t>sgc-2023-39</t>
        </is>
      </c>
      <c r="B412" s="7" t="n">
        <v>5</v>
      </c>
      <c r="C412" s="7" t="inlineStr">
        <is>
          <t>SGC</t>
        </is>
      </c>
      <c r="D412" s="7" t="inlineStr">
        <is>
          <t>2023</t>
        </is>
      </c>
      <c r="E412" s="7" t="n">
        <v>39</v>
      </c>
      <c r="F412" s="8" t="n">
        <v>45838</v>
      </c>
      <c r="G412" s="7" t="inlineStr">
        <is>
          <t>DANIEL EDUARDO SOTO BERNAL</t>
        </is>
      </c>
      <c r="H412" s="14" t="n">
        <v>2</v>
      </c>
      <c r="I412" s="15">
        <f>IF(H412="","",H412/2)</f>
        <v/>
      </c>
      <c r="J412" s="7">
        <f>IF(H412="",0,IF(SUMPRODUCT((Seguimientos!$A$2:$A$1013=A412)*(Seguimientos!$F$2:$F$1013=F412)*(Seguimientos!$B$2:$B$1013&gt;B412)*(Seguimientos!$H$2:$H$1013&lt;&gt;""))=0,1,0))</f>
        <v/>
      </c>
      <c r="K412" s="7">
        <f>A412&amp;"|"&amp;B412</f>
        <v/>
      </c>
      <c r="L412" s="13" t="inlineStr">
        <is>
          <t>ACTIVIDAD COMPLETADA</t>
        </is>
      </c>
    </row>
    <row r="413">
      <c r="A413" s="7" t="inlineStr">
        <is>
          <t>sgc-2023-39</t>
        </is>
      </c>
      <c r="B413" s="7" t="n">
        <v>6</v>
      </c>
      <c r="C413" s="7" t="inlineStr">
        <is>
          <t>SGC</t>
        </is>
      </c>
      <c r="D413" s="7" t="inlineStr">
        <is>
          <t>2023</t>
        </is>
      </c>
      <c r="E413" s="7" t="n">
        <v>39</v>
      </c>
      <c r="F413" s="8" t="n">
        <v>45930</v>
      </c>
      <c r="G413" s="7" t="inlineStr">
        <is>
          <t>JOAN IMAYINNE GALVIS MORENO</t>
        </is>
      </c>
      <c r="H413" s="14" t="n">
        <v>2</v>
      </c>
      <c r="I413" s="15">
        <f>IF(H413="","",H413/2)</f>
        <v/>
      </c>
      <c r="J413" s="7">
        <f>IF(H413="",0,IF(SUMPRODUCT((Seguimientos!$A$2:$A$1013=A413)*(Seguimientos!$F$2:$F$1013=F413)*(Seguimientos!$B$2:$B$1013&gt;B413)*(Seguimientos!$H$2:$H$1013&lt;&gt;""))=0,1,0))</f>
        <v/>
      </c>
      <c r="K413" s="7">
        <f>A413&amp;"|"&amp;B413</f>
        <v/>
      </c>
      <c r="L413" s="13" t="inlineStr">
        <is>
          <t>ACTIVIDAD COMPLETADA</t>
        </is>
      </c>
    </row>
    <row r="414">
      <c r="A414" s="7" t="inlineStr">
        <is>
          <t>sgc-2023-39</t>
        </is>
      </c>
      <c r="B414" s="7" t="n">
        <v>7</v>
      </c>
      <c r="C414" s="7" t="inlineStr">
        <is>
          <t>SGC</t>
        </is>
      </c>
      <c r="D414" s="7" t="inlineStr">
        <is>
          <t>2023</t>
        </is>
      </c>
      <c r="E414" s="7" t="n">
        <v>39</v>
      </c>
      <c r="F414" s="8" t="n">
        <v>46021</v>
      </c>
      <c r="G414" s="7" t="inlineStr">
        <is>
          <t>JOAN IMAYINNE GALVIS MORENO</t>
        </is>
      </c>
      <c r="H414" s="14" t="n">
        <v>2</v>
      </c>
      <c r="I414" s="15">
        <f>IF(H414="","",H414/2)</f>
        <v/>
      </c>
      <c r="J414" s="7">
        <f>IF(H414="",0,IF(SUMPRODUCT((Seguimientos!$A$2:$A$1013=A414)*(Seguimientos!$F$2:$F$1013=F414)*(Seguimientos!$B$2:$B$1013&gt;B414)*(Seguimientos!$H$2:$H$1013&lt;&gt;""))=0,1,0))</f>
        <v/>
      </c>
      <c r="K414" s="7">
        <f>A414&amp;"|"&amp;B414</f>
        <v/>
      </c>
      <c r="L414" s="13" t="inlineStr">
        <is>
          <t>ACTIVIDAD COMPLETADA</t>
        </is>
      </c>
    </row>
    <row r="415">
      <c r="A415" s="7" t="inlineStr">
        <is>
          <t>sgc-2023-39</t>
        </is>
      </c>
      <c r="B415" s="7" t="n">
        <v>8</v>
      </c>
      <c r="C415" s="7" t="inlineStr">
        <is>
          <t>SGC</t>
        </is>
      </c>
      <c r="D415" s="7" t="inlineStr">
        <is>
          <t>2023</t>
        </is>
      </c>
      <c r="E415" s="7" t="n">
        <v>39</v>
      </c>
      <c r="F415" s="8" t="n">
        <v>46142</v>
      </c>
      <c r="G415" s="7" t="inlineStr">
        <is>
          <t>JOAN IMAYINNE GALVIS MORENO</t>
        </is>
      </c>
      <c r="H415" s="14" t="n">
        <v>2</v>
      </c>
      <c r="I415" s="15">
        <f>IF(H415="","",H415/2)</f>
        <v/>
      </c>
      <c r="J415" s="7">
        <f>IF(H415="",0,IF(SUMPRODUCT((Seguimientos!$A$2:$A$1013=A415)*(Seguimientos!$F$2:$F$1013=F415)*(Seguimientos!$B$2:$B$1013&gt;B415)*(Seguimientos!$H$2:$H$1013&lt;&gt;""))=0,1,0))</f>
        <v/>
      </c>
      <c r="K415" s="7">
        <f>A415&amp;"|"&amp;B415</f>
        <v/>
      </c>
      <c r="L415" s="13" t="inlineStr">
        <is>
          <t>ACTIVIDAD COMPLETADA</t>
        </is>
      </c>
    </row>
    <row r="416">
      <c r="A416" s="7" t="inlineStr">
        <is>
          <t>sgc-2023-39</t>
        </is>
      </c>
      <c r="B416" s="7" t="n">
        <v>9</v>
      </c>
      <c r="C416" s="7" t="inlineStr">
        <is>
          <t>SGC</t>
        </is>
      </c>
      <c r="D416" s="7" t="inlineStr">
        <is>
          <t>2023</t>
        </is>
      </c>
      <c r="E416" s="7" t="n">
        <v>39</v>
      </c>
      <c r="F416" s="8" t="n">
        <v>46203</v>
      </c>
      <c r="G416" s="7" t="inlineStr">
        <is>
          <t>JOAN IMAYINNE GALVIS MORENO</t>
        </is>
      </c>
      <c r="H416" s="14" t="n">
        <v>2</v>
      </c>
      <c r="I416" s="15">
        <f>IF(H416="","",H416/2)</f>
        <v/>
      </c>
      <c r="J416" s="7">
        <f>IF(H416="",0,IF(SUMPRODUCT((Seguimientos!$A$2:$A$1013=A416)*(Seguimientos!$F$2:$F$1013=F416)*(Seguimientos!$B$2:$B$1013&gt;B416)*(Seguimientos!$H$2:$H$1013&lt;&gt;""))=0,1,0))</f>
        <v/>
      </c>
      <c r="K416" s="7">
        <f>A416&amp;"|"&amp;B416</f>
        <v/>
      </c>
      <c r="L416" s="13" t="inlineStr">
        <is>
          <t>ACTIVIDAD COMPLETADA</t>
        </is>
      </c>
    </row>
    <row r="417">
      <c r="A417" s="7" t="inlineStr">
        <is>
          <t>sgc-2023-40</t>
        </is>
      </c>
      <c r="B417" s="7" t="n">
        <v>1</v>
      </c>
      <c r="C417" s="7" t="inlineStr">
        <is>
          <t>SGC</t>
        </is>
      </c>
      <c r="D417" s="7" t="inlineStr">
        <is>
          <t>2023</t>
        </is>
      </c>
      <c r="E417" s="7" t="n">
        <v>40</v>
      </c>
      <c r="F417" s="8" t="n">
        <v>45405</v>
      </c>
      <c r="G417" s="7" t="inlineStr">
        <is>
          <t>DANIEL EDUARDO SOTO BERNAL</t>
        </is>
      </c>
      <c r="H417" s="14" t="n">
        <v>0</v>
      </c>
      <c r="I417" s="15">
        <f>IF(H417="","",H417/2)</f>
        <v/>
      </c>
      <c r="J417" s="7">
        <f>IF(H417="",0,IF(SUMPRODUCT((Seguimientos!$A$2:$A$1013=A417)*(Seguimientos!$F$2:$F$1013=F417)*(Seguimientos!$B$2:$B$1013&gt;B417)*(Seguimientos!$H$2:$H$1013&lt;&gt;""))=0,1,0))</f>
        <v/>
      </c>
      <c r="K417" s="7">
        <f>A417&amp;"|"&amp;B417</f>
        <v/>
      </c>
      <c r="L417" s="13" t="inlineStr">
        <is>
          <t>Actividad pendiente por cumplir, No soportan evidencia.</t>
        </is>
      </c>
    </row>
    <row r="418">
      <c r="A418" s="7" t="inlineStr">
        <is>
          <t>sgc-2023-40</t>
        </is>
      </c>
      <c r="B418" s="7" t="n">
        <v>2</v>
      </c>
      <c r="C418" s="7" t="inlineStr">
        <is>
          <t>SGC</t>
        </is>
      </c>
      <c r="D418" s="7" t="inlineStr">
        <is>
          <t>2023</t>
        </is>
      </c>
      <c r="E418" s="7" t="n">
        <v>40</v>
      </c>
      <c r="F418" s="8" t="n">
        <v>45497</v>
      </c>
      <c r="G418" s="7" t="inlineStr">
        <is>
          <t>DANIEL EDUARDO SOTO BERNAL</t>
        </is>
      </c>
      <c r="H418" s="14" t="n">
        <v>1.5</v>
      </c>
      <c r="I418" s="15">
        <f>IF(H418="","",H418/2)</f>
        <v/>
      </c>
      <c r="J418" s="7">
        <f>IF(H418="",0,IF(SUMPRODUCT((Seguimientos!$A$2:$A$1013=A418)*(Seguimientos!$F$2:$F$1013=F418)*(Seguimientos!$B$2:$B$1013&gt;B418)*(Seguimientos!$H$2:$H$1013&lt;&gt;""))=0,1,0))</f>
        <v/>
      </c>
      <c r="K418" s="7">
        <f>A418&amp;"|"&amp;B418</f>
        <v/>
      </c>
      <c r="L418" s="13" t="inlineStr">
        <is>
          <t>La Dirección de Talento humano allega PLAN INSTITUCIONAL DE CAPACITACION DE PERSONAL ADMINISTRATIVO vigencia 2024, al igual que la Acuerdo 0010 :2010, Resolución 083:2011, Resolución 235.2012, en términos de presentación de evidencia que den cumplimiento a la propuesta de la oportunidad de mejora.</t>
        </is>
      </c>
    </row>
    <row r="419">
      <c r="A419" s="7" t="inlineStr">
        <is>
          <t>sgc-2023-40</t>
        </is>
      </c>
      <c r="B419" s="7" t="n">
        <v>3</v>
      </c>
      <c r="C419" s="7" t="inlineStr">
        <is>
          <t>SGC</t>
        </is>
      </c>
      <c r="D419" s="7" t="inlineStr">
        <is>
          <t>2023</t>
        </is>
      </c>
      <c r="E419" s="7" t="n">
        <v>40</v>
      </c>
      <c r="F419" s="8" t="n">
        <v>45583</v>
      </c>
      <c r="G419" s="7" t="inlineStr">
        <is>
          <t>DANIEL EDUARDO SOTO BERNAL</t>
        </is>
      </c>
      <c r="H419" s="14" t="n">
        <v>1.5</v>
      </c>
      <c r="I419" s="15">
        <f>IF(H419="","",H419/2)</f>
        <v/>
      </c>
      <c r="J419" s="7">
        <f>IF(H419="",0,IF(SUMPRODUCT((Seguimientos!$A$2:$A$1013=A419)*(Seguimientos!$F$2:$F$1013=F419)*(Seguimientos!$B$2:$B$1013&gt;B419)*(Seguimientos!$H$2:$H$1013&lt;&gt;""))=0,1,0))</f>
        <v/>
      </c>
      <c r="K419" s="7">
        <f>A419&amp;"|"&amp;B419</f>
        <v/>
      </c>
      <c r="L419" s="13" t="inlineStr">
        <is>
          <t>La Dirección de Talento humano allega PLAN INSTITUCIONAL DE CAPACITACION DE PERSONAL ADMINISTRATIVO vigencia 2024, al igual que la Acuerdo 0010 :2010, Resolución 083:2011, Resolución 235.2012, en términos de presentación de evidencia que den cumplimiento a la propuesta de la oportunidad de mejora. No se adjunta documentación nueva, en donde se esperaba Documento de propuesta de las competencias y habilidades de los funcionarios.</t>
        </is>
      </c>
    </row>
    <row r="420">
      <c r="A420" s="7" t="inlineStr">
        <is>
          <t>sgc-2023-40</t>
        </is>
      </c>
      <c r="B420" s="7" t="n">
        <v>4</v>
      </c>
      <c r="C420" s="7" t="inlineStr">
        <is>
          <t>SGC</t>
        </is>
      </c>
      <c r="D420" s="7" t="inlineStr">
        <is>
          <t>2023</t>
        </is>
      </c>
      <c r="E420" s="7" t="n">
        <v>40</v>
      </c>
      <c r="F420" s="8" t="n">
        <v>45777</v>
      </c>
      <c r="G420" s="7" t="inlineStr">
        <is>
          <t>DANIEL EDUARDO SOTO BERNAL</t>
        </is>
      </c>
      <c r="H420" s="14" t="n">
        <v>1.5</v>
      </c>
      <c r="I420" s="15">
        <f>IF(H420="","",H420/2)</f>
        <v/>
      </c>
      <c r="J420" s="7">
        <f>IF(H420="",0,IF(SUMPRODUCT((Seguimientos!$A$2:$A$1013=A420)*(Seguimientos!$F$2:$F$1013=F420)*(Seguimientos!$B$2:$B$1013&gt;B420)*(Seguimientos!$H$2:$H$1013&lt;&gt;""))=0,1,0))</f>
        <v/>
      </c>
      <c r="K420" s="7">
        <f>A420&amp;"|"&amp;B420</f>
        <v/>
      </c>
      <c r="L420" s="13" t="inlineStr">
        <is>
          <t>Actividad pendiente por cumplir, No soportan evidencia.</t>
        </is>
      </c>
    </row>
    <row r="421">
      <c r="A421" s="7" t="inlineStr">
        <is>
          <t>sgc-2023-40</t>
        </is>
      </c>
      <c r="B421" s="7" t="n">
        <v>5</v>
      </c>
      <c r="C421" s="7" t="inlineStr">
        <is>
          <t>SGC</t>
        </is>
      </c>
      <c r="D421" s="7" t="inlineStr">
        <is>
          <t>2023</t>
        </is>
      </c>
      <c r="E421" s="7" t="n">
        <v>40</v>
      </c>
      <c r="F421" s="8" t="n">
        <v>45838</v>
      </c>
      <c r="G421" s="7" t="inlineStr">
        <is>
          <t>DANIEL EDUARDO SOTO BERNAL</t>
        </is>
      </c>
      <c r="H421" s="14" t="n">
        <v>1.5</v>
      </c>
      <c r="I421" s="15">
        <f>IF(H421="","",H421/2)</f>
        <v/>
      </c>
      <c r="J421" s="7">
        <f>IF(H421="",0,IF(SUMPRODUCT((Seguimientos!$A$2:$A$1013=A421)*(Seguimientos!$F$2:$F$1013=F421)*(Seguimientos!$B$2:$B$1013&gt;B421)*(Seguimientos!$H$2:$H$1013&lt;&gt;""))=0,1,0))</f>
        <v/>
      </c>
      <c r="K421" s="7">
        <f>A421&amp;"|"&amp;B421</f>
        <v/>
      </c>
      <c r="L421" s="13" t="inlineStr">
        <is>
          <t>Actividad pendiente por cumplir, No soportan evidencia.</t>
        </is>
      </c>
    </row>
    <row r="422">
      <c r="A422" s="7" t="inlineStr">
        <is>
          <t>sgc-2023-40</t>
        </is>
      </c>
      <c r="B422" s="7" t="n">
        <v>6</v>
      </c>
      <c r="C422" s="7" t="inlineStr">
        <is>
          <t>SGC</t>
        </is>
      </c>
      <c r="D422" s="7" t="inlineStr">
        <is>
          <t>2023</t>
        </is>
      </c>
      <c r="E422" s="7" t="n">
        <v>40</v>
      </c>
      <c r="F422" s="8" t="n">
        <v>45930</v>
      </c>
      <c r="G422" s="7" t="inlineStr">
        <is>
          <t>JOAN IMAYINNE GALVIS MORENO</t>
        </is>
      </c>
      <c r="H422" s="14" t="n">
        <v>1.5</v>
      </c>
      <c r="I422" s="15">
        <f>IF(H422="","",H422/2)</f>
        <v/>
      </c>
      <c r="J422" s="7">
        <f>IF(H422="",0,IF(SUMPRODUCT((Seguimientos!$A$2:$A$1013=A422)*(Seguimientos!$F$2:$F$1013=F422)*(Seguimientos!$B$2:$B$1013&gt;B422)*(Seguimientos!$H$2:$H$1013&lt;&gt;""))=0,1,0))</f>
        <v/>
      </c>
      <c r="K422" s="7">
        <f>A422&amp;"|"&amp;B422</f>
        <v/>
      </c>
      <c r="L422" s="13" t="inlineStr">
        <is>
          <t>Actividad pendiente por cumplir, No soportan evidencia.</t>
        </is>
      </c>
    </row>
    <row r="423">
      <c r="A423" s="7" t="inlineStr">
        <is>
          <t>sgc-2023-40</t>
        </is>
      </c>
      <c r="B423" s="7" t="n">
        <v>7</v>
      </c>
      <c r="C423" s="7" t="inlineStr">
        <is>
          <t>SGC</t>
        </is>
      </c>
      <c r="D423" s="7" t="inlineStr">
        <is>
          <t>2023</t>
        </is>
      </c>
      <c r="E423" s="7" t="n">
        <v>40</v>
      </c>
      <c r="F423" s="8" t="n">
        <v>46021</v>
      </c>
      <c r="G423" s="7" t="inlineStr">
        <is>
          <t>JOAN IMAYINNE GALVIS MORENO</t>
        </is>
      </c>
      <c r="H423" s="14" t="n">
        <v>1.5</v>
      </c>
      <c r="I423" s="15">
        <f>IF(H423="","",H423/2)</f>
        <v/>
      </c>
      <c r="J423" s="7">
        <f>IF(H423="",0,IF(SUMPRODUCT((Seguimientos!$A$2:$A$1013=A423)*(Seguimientos!$F$2:$F$1013=F423)*(Seguimientos!$B$2:$B$1013&gt;B423)*(Seguimientos!$H$2:$H$1013&lt;&gt;""))=0,1,0))</f>
        <v/>
      </c>
      <c r="K423" s="7">
        <f>A423&amp;"|"&amp;B423</f>
        <v/>
      </c>
      <c r="L423" s="13" t="inlineStr">
        <is>
          <t>Actividad pendiente por cumplir, No soportan evidencia.</t>
        </is>
      </c>
    </row>
    <row r="424">
      <c r="A424" s="7" t="inlineStr">
        <is>
          <t>sgc-2023-40</t>
        </is>
      </c>
      <c r="B424" s="7" t="n">
        <v>8</v>
      </c>
      <c r="C424" s="7" t="inlineStr">
        <is>
          <t>SGC</t>
        </is>
      </c>
      <c r="D424" s="7" t="inlineStr">
        <is>
          <t>2023</t>
        </is>
      </c>
      <c r="E424" s="7" t="n">
        <v>40</v>
      </c>
      <c r="F424" s="8" t="n">
        <v>46142</v>
      </c>
      <c r="G424" s="7" t="inlineStr">
        <is>
          <t>JOAN IMAYINNE GALVIS MORENO</t>
        </is>
      </c>
      <c r="H424" s="14" t="n">
        <v>1.5</v>
      </c>
      <c r="I424" s="15">
        <f>IF(H424="","",H424/2)</f>
        <v/>
      </c>
      <c r="J424" s="7">
        <f>IF(H424="",0,IF(SUMPRODUCT((Seguimientos!$A$2:$A$1013=A424)*(Seguimientos!$F$2:$F$1013=F424)*(Seguimientos!$B$2:$B$1013&gt;B424)*(Seguimientos!$H$2:$H$1013&lt;&gt;""))=0,1,0))</f>
        <v/>
      </c>
      <c r="K424" s="7">
        <f>A424&amp;"|"&amp;B424</f>
        <v/>
      </c>
      <c r="L424" s="13" t="inlineStr"/>
    </row>
    <row r="425">
      <c r="A425" s="7" t="inlineStr">
        <is>
          <t>sgc-2023-40</t>
        </is>
      </c>
      <c r="B425" s="7" t="n">
        <v>9</v>
      </c>
      <c r="C425" s="7" t="inlineStr">
        <is>
          <t>SGC</t>
        </is>
      </c>
      <c r="D425" s="7" t="inlineStr">
        <is>
          <t>2023</t>
        </is>
      </c>
      <c r="E425" s="7" t="n">
        <v>40</v>
      </c>
      <c r="F425" s="8" t="n">
        <v>46203</v>
      </c>
      <c r="G425" s="7" t="inlineStr">
        <is>
          <t>JOAN IMAYINNE GALVIS MORENO</t>
        </is>
      </c>
      <c r="H425" s="14" t="n">
        <v>1.5</v>
      </c>
      <c r="I425" s="15">
        <f>IF(H425="","",H425/2)</f>
        <v/>
      </c>
      <c r="J425" s="7">
        <f>IF(H425="",0,IF(SUMPRODUCT((Seguimientos!$A$2:$A$1013=A425)*(Seguimientos!$F$2:$F$1013=F425)*(Seguimientos!$B$2:$B$1013&gt;B425)*(Seguimientos!$H$2:$H$1013&lt;&gt;""))=0,1,0))</f>
        <v/>
      </c>
      <c r="K425" s="7">
        <f>A425&amp;"|"&amp;B425</f>
        <v/>
      </c>
      <c r="L425" s="13" t="inlineStr"/>
    </row>
    <row r="426">
      <c r="A426" s="7" t="inlineStr">
        <is>
          <t>sgc-2023-41</t>
        </is>
      </c>
      <c r="B426" s="7" t="n">
        <v>1</v>
      </c>
      <c r="C426" s="7" t="inlineStr">
        <is>
          <t>SGC</t>
        </is>
      </c>
      <c r="D426" s="7" t="inlineStr">
        <is>
          <t>2023</t>
        </is>
      </c>
      <c r="E426" s="7" t="n">
        <v>41</v>
      </c>
      <c r="F426" s="8" t="n">
        <v>45405</v>
      </c>
      <c r="G426" s="7" t="inlineStr">
        <is>
          <t>DANIEL EDUARDO SOTO BERNAL</t>
        </is>
      </c>
      <c r="H426" s="14" t="n">
        <v>0</v>
      </c>
      <c r="I426" s="15">
        <f>IF(H426="","",H426/2)</f>
        <v/>
      </c>
      <c r="J426" s="7">
        <f>IF(H426="",0,IF(SUMPRODUCT((Seguimientos!$A$2:$A$1013=A426)*(Seguimientos!$F$2:$F$1013=F426)*(Seguimientos!$B$2:$B$1013&gt;B426)*(Seguimientos!$H$2:$H$1013&lt;&gt;""))=0,1,0))</f>
        <v/>
      </c>
      <c r="K426" s="7">
        <f>A426&amp;"|"&amp;B426</f>
        <v/>
      </c>
      <c r="L426" s="13" t="inlineStr">
        <is>
          <t>Actividad pendiente por cumplir, No soportan evidencia.</t>
        </is>
      </c>
    </row>
    <row r="427">
      <c r="A427" s="7" t="inlineStr">
        <is>
          <t>sgc-2023-41</t>
        </is>
      </c>
      <c r="B427" s="7" t="n">
        <v>2</v>
      </c>
      <c r="C427" s="7" t="inlineStr">
        <is>
          <t>SGC</t>
        </is>
      </c>
      <c r="D427" s="7" t="inlineStr">
        <is>
          <t>2023</t>
        </is>
      </c>
      <c r="E427" s="7" t="n">
        <v>41</v>
      </c>
      <c r="F427" s="8" t="n">
        <v>45497</v>
      </c>
      <c r="G427" s="7" t="inlineStr">
        <is>
          <t>DANIEL EDUARDO SOTO BERNAL</t>
        </is>
      </c>
      <c r="H427" s="14" t="n">
        <v>0</v>
      </c>
      <c r="I427" s="15">
        <f>IF(H427="","",H427/2)</f>
        <v/>
      </c>
      <c r="J427" s="7">
        <f>IF(H427="",0,IF(SUMPRODUCT((Seguimientos!$A$2:$A$1013=A427)*(Seguimientos!$F$2:$F$1013=F427)*(Seguimientos!$B$2:$B$1013&gt;B427)*(Seguimientos!$H$2:$H$1013&lt;&gt;""))=0,1,0))</f>
        <v/>
      </c>
      <c r="K427" s="7">
        <f>A427&amp;"|"&amp;B427</f>
        <v/>
      </c>
      <c r="L427" s="13" t="inlineStr">
        <is>
          <t>Se anexa documento de extensión txt, Enlace de convocatoria que en su momento no permitió seguir enlace, en la opción de mejora proponen Documento.</t>
        </is>
      </c>
    </row>
    <row r="428">
      <c r="A428" s="7" t="inlineStr">
        <is>
          <t>sgc-2023-41</t>
        </is>
      </c>
      <c r="B428" s="7" t="n">
        <v>3</v>
      </c>
      <c r="C428" s="7" t="inlineStr">
        <is>
          <t>SGC</t>
        </is>
      </c>
      <c r="D428" s="7" t="inlineStr">
        <is>
          <t>2023</t>
        </is>
      </c>
      <c r="E428" s="7" t="n">
        <v>41</v>
      </c>
      <c r="F428" s="8" t="n">
        <v>45583</v>
      </c>
      <c r="G428" s="7" t="inlineStr">
        <is>
          <t>DANIEL EDUARDO SOTO BERNAL</t>
        </is>
      </c>
      <c r="H428" s="14" t="n">
        <v>2</v>
      </c>
      <c r="I428" s="15">
        <f>IF(H428="","",H428/2)</f>
        <v/>
      </c>
      <c r="J428" s="7">
        <f>IF(H428="",0,IF(SUMPRODUCT((Seguimientos!$A$2:$A$1013=A428)*(Seguimientos!$F$2:$F$1013=F428)*(Seguimientos!$B$2:$B$1013&gt;B428)*(Seguimientos!$H$2:$H$1013&lt;&gt;""))=0,1,0))</f>
        <v/>
      </c>
      <c r="K428" s="7">
        <f>A428&amp;"|"&amp;B428</f>
        <v/>
      </c>
      <c r="L428" s="13" t="inlineStr">
        <is>
          <t>Se adjunta enlace de convocatorias y, propuesta de proyecto de rotación interna. https://www.ucundinamarca.edu.co/index.php/banco-de-talento-administrativo</t>
        </is>
      </c>
    </row>
    <row r="429">
      <c r="A429" s="7" t="inlineStr">
        <is>
          <t>sgc-2023-41</t>
        </is>
      </c>
      <c r="B429" s="7" t="n">
        <v>4</v>
      </c>
      <c r="C429" s="7" t="inlineStr">
        <is>
          <t>SGC</t>
        </is>
      </c>
      <c r="D429" s="7" t="inlineStr">
        <is>
          <t>2023</t>
        </is>
      </c>
      <c r="E429" s="7" t="n">
        <v>41</v>
      </c>
      <c r="F429" s="8" t="n">
        <v>45777</v>
      </c>
      <c r="G429" s="7" t="inlineStr">
        <is>
          <t>DANIEL EDUARDO SOTO BERNAL</t>
        </is>
      </c>
      <c r="H429" s="14" t="n">
        <v>2</v>
      </c>
      <c r="I429" s="15">
        <f>IF(H429="","",H429/2)</f>
        <v/>
      </c>
      <c r="J429" s="7">
        <f>IF(H429="",0,IF(SUMPRODUCT((Seguimientos!$A$2:$A$1013=A429)*(Seguimientos!$F$2:$F$1013=F429)*(Seguimientos!$B$2:$B$1013&gt;B429)*(Seguimientos!$H$2:$H$1013&lt;&gt;""))=0,1,0))</f>
        <v/>
      </c>
      <c r="K429" s="7">
        <f>A429&amp;"|"&amp;B429</f>
        <v/>
      </c>
      <c r="L429" s="13" t="inlineStr">
        <is>
          <t>ACTIVIDAD COMPLETADA</t>
        </is>
      </c>
    </row>
    <row r="430">
      <c r="A430" s="7" t="inlineStr">
        <is>
          <t>sgc-2023-41</t>
        </is>
      </c>
      <c r="B430" s="7" t="n">
        <v>5</v>
      </c>
      <c r="C430" s="7" t="inlineStr">
        <is>
          <t>SGC</t>
        </is>
      </c>
      <c r="D430" s="7" t="inlineStr">
        <is>
          <t>2023</t>
        </is>
      </c>
      <c r="E430" s="7" t="n">
        <v>41</v>
      </c>
      <c r="F430" s="8" t="n">
        <v>45838</v>
      </c>
      <c r="G430" s="7" t="inlineStr">
        <is>
          <t>DANIEL EDUARDO SOTO BERNAL</t>
        </is>
      </c>
      <c r="H430" s="14" t="n">
        <v>2</v>
      </c>
      <c r="I430" s="15">
        <f>IF(H430="","",H430/2)</f>
        <v/>
      </c>
      <c r="J430" s="7">
        <f>IF(H430="",0,IF(SUMPRODUCT((Seguimientos!$A$2:$A$1013=A430)*(Seguimientos!$F$2:$F$1013=F430)*(Seguimientos!$B$2:$B$1013&gt;B430)*(Seguimientos!$H$2:$H$1013&lt;&gt;""))=0,1,0))</f>
        <v/>
      </c>
      <c r="K430" s="7">
        <f>A430&amp;"|"&amp;B430</f>
        <v/>
      </c>
      <c r="L430" s="13" t="inlineStr">
        <is>
          <t>ACTIVIDAD COMPLETADA</t>
        </is>
      </c>
    </row>
    <row r="431">
      <c r="A431" s="7" t="inlineStr">
        <is>
          <t>sgc-2023-41</t>
        </is>
      </c>
      <c r="B431" s="7" t="n">
        <v>6</v>
      </c>
      <c r="C431" s="7" t="inlineStr">
        <is>
          <t>SGC</t>
        </is>
      </c>
      <c r="D431" s="7" t="inlineStr">
        <is>
          <t>2023</t>
        </is>
      </c>
      <c r="E431" s="7" t="n">
        <v>41</v>
      </c>
      <c r="F431" s="8" t="n">
        <v>45930</v>
      </c>
      <c r="G431" s="7" t="inlineStr">
        <is>
          <t>JOAN IMAYINNE GALVIS MORENO</t>
        </is>
      </c>
      <c r="H431" s="14" t="n">
        <v>2</v>
      </c>
      <c r="I431" s="15">
        <f>IF(H431="","",H431/2)</f>
        <v/>
      </c>
      <c r="J431" s="7">
        <f>IF(H431="",0,IF(SUMPRODUCT((Seguimientos!$A$2:$A$1013=A431)*(Seguimientos!$F$2:$F$1013=F431)*(Seguimientos!$B$2:$B$1013&gt;B431)*(Seguimientos!$H$2:$H$1013&lt;&gt;""))=0,1,0))</f>
        <v/>
      </c>
      <c r="K431" s="7">
        <f>A431&amp;"|"&amp;B431</f>
        <v/>
      </c>
      <c r="L431" s="13" t="inlineStr">
        <is>
          <t>ACTIVIDAD COMPLETADA</t>
        </is>
      </c>
    </row>
    <row r="432">
      <c r="A432" s="7" t="inlineStr">
        <is>
          <t>sgc-2023-41</t>
        </is>
      </c>
      <c r="B432" s="7" t="n">
        <v>7</v>
      </c>
      <c r="C432" s="7" t="inlineStr">
        <is>
          <t>SGC</t>
        </is>
      </c>
      <c r="D432" s="7" t="inlineStr">
        <is>
          <t>2023</t>
        </is>
      </c>
      <c r="E432" s="7" t="n">
        <v>41</v>
      </c>
      <c r="F432" s="8" t="n">
        <v>46021</v>
      </c>
      <c r="G432" s="7" t="inlineStr">
        <is>
          <t>JOAN IMAYINNE GALVIS MORENO</t>
        </is>
      </c>
      <c r="H432" s="14" t="n">
        <v>2</v>
      </c>
      <c r="I432" s="15">
        <f>IF(H432="","",H432/2)</f>
        <v/>
      </c>
      <c r="J432" s="7">
        <f>IF(H432="",0,IF(SUMPRODUCT((Seguimientos!$A$2:$A$1013=A432)*(Seguimientos!$F$2:$F$1013=F432)*(Seguimientos!$B$2:$B$1013&gt;B432)*(Seguimientos!$H$2:$H$1013&lt;&gt;""))=0,1,0))</f>
        <v/>
      </c>
      <c r="K432" s="7">
        <f>A432&amp;"|"&amp;B432</f>
        <v/>
      </c>
      <c r="L432" s="13" t="inlineStr">
        <is>
          <t>ACTIVIDAD COMPLETADA</t>
        </is>
      </c>
    </row>
    <row r="433">
      <c r="A433" s="7" t="inlineStr">
        <is>
          <t>sgc-2023-41</t>
        </is>
      </c>
      <c r="B433" s="7" t="n">
        <v>8</v>
      </c>
      <c r="C433" s="7" t="inlineStr">
        <is>
          <t>SGC</t>
        </is>
      </c>
      <c r="D433" s="7" t="inlineStr">
        <is>
          <t>2023</t>
        </is>
      </c>
      <c r="E433" s="7" t="n">
        <v>41</v>
      </c>
      <c r="F433" s="8" t="n">
        <v>46142</v>
      </c>
      <c r="G433" s="7" t="inlineStr">
        <is>
          <t>JOAN IMAYINNE GALVIS MORENO</t>
        </is>
      </c>
      <c r="H433" s="14" t="n">
        <v>2</v>
      </c>
      <c r="I433" s="15">
        <f>IF(H433="","",H433/2)</f>
        <v/>
      </c>
      <c r="J433" s="7">
        <f>IF(H433="",0,IF(SUMPRODUCT((Seguimientos!$A$2:$A$1013=A433)*(Seguimientos!$F$2:$F$1013=F433)*(Seguimientos!$B$2:$B$1013&gt;B433)*(Seguimientos!$H$2:$H$1013&lt;&gt;""))=0,1,0))</f>
        <v/>
      </c>
      <c r="K433" s="7">
        <f>A433&amp;"|"&amp;B433</f>
        <v/>
      </c>
      <c r="L433" s="13" t="inlineStr">
        <is>
          <t>ACTIVIDAD COMPLETADA</t>
        </is>
      </c>
    </row>
    <row r="434">
      <c r="A434" s="7" t="inlineStr">
        <is>
          <t>sgc-2023-41</t>
        </is>
      </c>
      <c r="B434" s="7" t="n">
        <v>9</v>
      </c>
      <c r="C434" s="7" t="inlineStr">
        <is>
          <t>SGC</t>
        </is>
      </c>
      <c r="D434" s="7" t="inlineStr">
        <is>
          <t>2023</t>
        </is>
      </c>
      <c r="E434" s="7" t="n">
        <v>41</v>
      </c>
      <c r="F434" s="8" t="n">
        <v>46203</v>
      </c>
      <c r="G434" s="7" t="inlineStr">
        <is>
          <t>JOAN IMAYINNE GALVIS MORENO</t>
        </is>
      </c>
      <c r="H434" s="14" t="n">
        <v>2</v>
      </c>
      <c r="I434" s="15">
        <f>IF(H434="","",H434/2)</f>
        <v/>
      </c>
      <c r="J434" s="7">
        <f>IF(H434="",0,IF(SUMPRODUCT((Seguimientos!$A$2:$A$1013=A434)*(Seguimientos!$F$2:$F$1013=F434)*(Seguimientos!$B$2:$B$1013&gt;B434)*(Seguimientos!$H$2:$H$1013&lt;&gt;""))=0,1,0))</f>
        <v/>
      </c>
      <c r="K434" s="7">
        <f>A434&amp;"|"&amp;B434</f>
        <v/>
      </c>
      <c r="L434" s="13" t="inlineStr">
        <is>
          <t>ACTIVIDAD COMPLETADA</t>
        </is>
      </c>
    </row>
    <row r="435">
      <c r="A435" s="7" t="inlineStr">
        <is>
          <t>sgc-2023-42</t>
        </is>
      </c>
      <c r="B435" s="7" t="n">
        <v>1</v>
      </c>
      <c r="C435" s="7" t="inlineStr">
        <is>
          <t>SGC</t>
        </is>
      </c>
      <c r="D435" s="7" t="inlineStr">
        <is>
          <t>2023</t>
        </is>
      </c>
      <c r="E435" s="7" t="n">
        <v>42</v>
      </c>
      <c r="F435" s="8" t="n">
        <v>45405</v>
      </c>
      <c r="G435" s="7" t="inlineStr">
        <is>
          <t>DANIEL EDUARDO SOTO BERNAL</t>
        </is>
      </c>
      <c r="H435" s="14" t="n">
        <v>0</v>
      </c>
      <c r="I435" s="15">
        <f>IF(H435="","",H435/2)</f>
        <v/>
      </c>
      <c r="J435" s="7">
        <f>IF(H435="",0,IF(SUMPRODUCT((Seguimientos!$A$2:$A$1013=A435)*(Seguimientos!$F$2:$F$1013=F435)*(Seguimientos!$B$2:$B$1013&gt;B435)*(Seguimientos!$H$2:$H$1013&lt;&gt;""))=0,1,0))</f>
        <v/>
      </c>
      <c r="K435" s="7">
        <f>A435&amp;"|"&amp;B435</f>
        <v/>
      </c>
      <c r="L435" s="13" t="inlineStr">
        <is>
          <t>Actividad pendiente por cumplir, No soportan evidencia.</t>
        </is>
      </c>
    </row>
    <row r="436">
      <c r="A436" s="7" t="inlineStr">
        <is>
          <t>sgc-2023-42</t>
        </is>
      </c>
      <c r="B436" s="7" t="n">
        <v>2</v>
      </c>
      <c r="C436" s="7" t="inlineStr">
        <is>
          <t>SGC</t>
        </is>
      </c>
      <c r="D436" s="7" t="inlineStr">
        <is>
          <t>2023</t>
        </is>
      </c>
      <c r="E436" s="7" t="n">
        <v>42</v>
      </c>
      <c r="F436" s="8" t="n">
        <v>45497</v>
      </c>
      <c r="G436" s="7" t="inlineStr">
        <is>
          <t>DANIEL EDUARDO SOTO BERNAL</t>
        </is>
      </c>
      <c r="H436" s="14" t="n">
        <v>0</v>
      </c>
      <c r="I436" s="15">
        <f>IF(H436="","",H436/2)</f>
        <v/>
      </c>
      <c r="J436" s="7">
        <f>IF(H436="",0,IF(SUMPRODUCT((Seguimientos!$A$2:$A$1013=A436)*(Seguimientos!$F$2:$F$1013=F436)*(Seguimientos!$B$2:$B$1013&gt;B436)*(Seguimientos!$H$2:$H$1013&lt;&gt;""))=0,1,0))</f>
        <v/>
      </c>
      <c r="K436" s="7">
        <f>A436&amp;"|"&amp;B436</f>
        <v/>
      </c>
      <c r="L436" s="13" t="inlineStr">
        <is>
          <t>De acuerdo con la información recibida, la solicitud de elevar la meta del indicador de eficacia en control del riesgo se hizo en la sesión de Revisión por la Dirección de noviembre de 2023; razón por la cual, se procedió a revisar las actas del Comité SAC desde noviembre de 2023 hasta junio de 2024, pero no se encontró ninguna referencia o decisión relacionada con elevar la meta del indicador de eficacia en control del riesgo.</t>
        </is>
      </c>
    </row>
    <row r="437">
      <c r="A437" s="7" t="inlineStr">
        <is>
          <t>sgc-2023-42</t>
        </is>
      </c>
      <c r="B437" s="7" t="n">
        <v>3</v>
      </c>
      <c r="C437" s="7" t="inlineStr">
        <is>
          <t>SGC</t>
        </is>
      </c>
      <c r="D437" s="7" t="inlineStr">
        <is>
          <t>2023</t>
        </is>
      </c>
      <c r="E437" s="7" t="n">
        <v>42</v>
      </c>
      <c r="F437" s="8" t="n">
        <v>45583</v>
      </c>
      <c r="G437" s="7" t="inlineStr">
        <is>
          <t>DANIEL EDUARDO SOTO BERNAL</t>
        </is>
      </c>
      <c r="H437" s="14" t="n">
        <v>2</v>
      </c>
      <c r="I437" s="15">
        <f>IF(H437="","",H437/2)</f>
        <v/>
      </c>
      <c r="J437" s="7">
        <f>IF(H437="",0,IF(SUMPRODUCT((Seguimientos!$A$2:$A$1013=A437)*(Seguimientos!$F$2:$F$1013=F437)*(Seguimientos!$B$2:$B$1013&gt;B437)*(Seguimientos!$H$2:$H$1013&lt;&gt;""))=0,1,0))</f>
        <v/>
      </c>
      <c r="K437" s="7">
        <f>A437&amp;"|"&amp;B437</f>
        <v/>
      </c>
      <c r="L437" s="13" t="inlineStr">
        <is>
          <t>En relación con los indicadores que tuvieron cambios, informó que en Control Interno se tienen tres indicadores, dos de los cuales incrementaron su meta: • Nivel de Mejoramiento - INS-2 → Pasó del 70% al 75%. • Eficacia en el Control de Riesgos - INS 5 → Pasó del 65% al 80%. • Oportunidad en la entrega de preinformes de auditoría - SCI → Se inactiva el indicador dado que refleja un cumplimiento del 100% en la última vigencia.</t>
        </is>
      </c>
    </row>
    <row r="438">
      <c r="A438" s="7" t="inlineStr">
        <is>
          <t>sgc-2023-42</t>
        </is>
      </c>
      <c r="B438" s="7" t="n">
        <v>4</v>
      </c>
      <c r="C438" s="7" t="inlineStr">
        <is>
          <t>SGC</t>
        </is>
      </c>
      <c r="D438" s="7" t="inlineStr">
        <is>
          <t>2023</t>
        </is>
      </c>
      <c r="E438" s="7" t="n">
        <v>42</v>
      </c>
      <c r="F438" s="8" t="n">
        <v>45777</v>
      </c>
      <c r="G438" s="7" t="inlineStr">
        <is>
          <t>DANIEL EDUARDO SOTO BERNAL</t>
        </is>
      </c>
      <c r="H438" s="14" t="n">
        <v>2</v>
      </c>
      <c r="I438" s="15">
        <f>IF(H438="","",H438/2)</f>
        <v/>
      </c>
      <c r="J438" s="7">
        <f>IF(H438="",0,IF(SUMPRODUCT((Seguimientos!$A$2:$A$1013=A438)*(Seguimientos!$F$2:$F$1013=F438)*(Seguimientos!$B$2:$B$1013&gt;B438)*(Seguimientos!$H$2:$H$1013&lt;&gt;""))=0,1,0))</f>
        <v/>
      </c>
      <c r="K438" s="7">
        <f>A438&amp;"|"&amp;B438</f>
        <v/>
      </c>
      <c r="L438" s="13" t="inlineStr">
        <is>
          <t>ACTIVIDAD COMPLETADA</t>
        </is>
      </c>
    </row>
    <row r="439">
      <c r="A439" s="7" t="inlineStr">
        <is>
          <t>sgc-2023-42</t>
        </is>
      </c>
      <c r="B439" s="7" t="n">
        <v>5</v>
      </c>
      <c r="C439" s="7" t="inlineStr">
        <is>
          <t>SGC</t>
        </is>
      </c>
      <c r="D439" s="7" t="inlineStr">
        <is>
          <t>2023</t>
        </is>
      </c>
      <c r="E439" s="7" t="n">
        <v>42</v>
      </c>
      <c r="F439" s="8" t="n">
        <v>45838</v>
      </c>
      <c r="G439" s="7" t="inlineStr">
        <is>
          <t>DANIEL EDUARDO SOTO BERNAL</t>
        </is>
      </c>
      <c r="H439" s="14" t="n">
        <v>2</v>
      </c>
      <c r="I439" s="15">
        <f>IF(H439="","",H439/2)</f>
        <v/>
      </c>
      <c r="J439" s="7">
        <f>IF(H439="",0,IF(SUMPRODUCT((Seguimientos!$A$2:$A$1013=A439)*(Seguimientos!$F$2:$F$1013=F439)*(Seguimientos!$B$2:$B$1013&gt;B439)*(Seguimientos!$H$2:$H$1013&lt;&gt;""))=0,1,0))</f>
        <v/>
      </c>
      <c r="K439" s="7">
        <f>A439&amp;"|"&amp;B439</f>
        <v/>
      </c>
      <c r="L439" s="13" t="inlineStr">
        <is>
          <t>ACTIVIDAD COMPLETADA</t>
        </is>
      </c>
    </row>
    <row r="440">
      <c r="A440" s="7" t="inlineStr">
        <is>
          <t>sgc-2023-42</t>
        </is>
      </c>
      <c r="B440" s="7" t="n">
        <v>6</v>
      </c>
      <c r="C440" s="7" t="inlineStr">
        <is>
          <t>SGC</t>
        </is>
      </c>
      <c r="D440" s="7" t="inlineStr">
        <is>
          <t>2023</t>
        </is>
      </c>
      <c r="E440" s="7" t="n">
        <v>42</v>
      </c>
      <c r="F440" s="8" t="n">
        <v>45930</v>
      </c>
      <c r="G440" s="7" t="inlineStr">
        <is>
          <t>JOAN IMAYINNE GALVIS MORENO</t>
        </is>
      </c>
      <c r="H440" s="14" t="n">
        <v>2</v>
      </c>
      <c r="I440" s="15">
        <f>IF(H440="","",H440/2)</f>
        <v/>
      </c>
      <c r="J440" s="7">
        <f>IF(H440="",0,IF(SUMPRODUCT((Seguimientos!$A$2:$A$1013=A440)*(Seguimientos!$F$2:$F$1013=F440)*(Seguimientos!$B$2:$B$1013&gt;B440)*(Seguimientos!$H$2:$H$1013&lt;&gt;""))=0,1,0))</f>
        <v/>
      </c>
      <c r="K440" s="7">
        <f>A440&amp;"|"&amp;B440</f>
        <v/>
      </c>
      <c r="L440" s="13" t="inlineStr">
        <is>
          <t>ACTIVIDAD COMPLETADA</t>
        </is>
      </c>
    </row>
    <row r="441">
      <c r="A441" s="7" t="inlineStr">
        <is>
          <t>sgc-2023-42</t>
        </is>
      </c>
      <c r="B441" s="7" t="n">
        <v>7</v>
      </c>
      <c r="C441" s="7" t="inlineStr">
        <is>
          <t>SGC</t>
        </is>
      </c>
      <c r="D441" s="7" t="inlineStr">
        <is>
          <t>2023</t>
        </is>
      </c>
      <c r="E441" s="7" t="n">
        <v>42</v>
      </c>
      <c r="F441" s="8" t="n">
        <v>46021</v>
      </c>
      <c r="G441" s="7" t="inlineStr">
        <is>
          <t>JOAN IMAYINNE GALVIS MORENO</t>
        </is>
      </c>
      <c r="H441" s="14" t="n">
        <v>2</v>
      </c>
      <c r="I441" s="15">
        <f>IF(H441="","",H441/2)</f>
        <v/>
      </c>
      <c r="J441" s="7">
        <f>IF(H441="",0,IF(SUMPRODUCT((Seguimientos!$A$2:$A$1013=A441)*(Seguimientos!$F$2:$F$1013=F441)*(Seguimientos!$B$2:$B$1013&gt;B441)*(Seguimientos!$H$2:$H$1013&lt;&gt;""))=0,1,0))</f>
        <v/>
      </c>
      <c r="K441" s="7">
        <f>A441&amp;"|"&amp;B441</f>
        <v/>
      </c>
      <c r="L441" s="13" t="inlineStr">
        <is>
          <t>ACTIVIDAD COMPLETADA</t>
        </is>
      </c>
    </row>
    <row r="442">
      <c r="A442" s="7" t="inlineStr">
        <is>
          <t>sgc-2023-42</t>
        </is>
      </c>
      <c r="B442" s="7" t="n">
        <v>8</v>
      </c>
      <c r="C442" s="7" t="inlineStr">
        <is>
          <t>SGC</t>
        </is>
      </c>
      <c r="D442" s="7" t="inlineStr">
        <is>
          <t>2023</t>
        </is>
      </c>
      <c r="E442" s="7" t="n">
        <v>42</v>
      </c>
      <c r="F442" s="8" t="n">
        <v>46142</v>
      </c>
      <c r="G442" s="7" t="inlineStr">
        <is>
          <t>JOAN IMAYINNE GALVIS MORENO</t>
        </is>
      </c>
      <c r="H442" s="14" t="n">
        <v>2</v>
      </c>
      <c r="I442" s="15">
        <f>IF(H442="","",H442/2)</f>
        <v/>
      </c>
      <c r="J442" s="7">
        <f>IF(H442="",0,IF(SUMPRODUCT((Seguimientos!$A$2:$A$1013=A442)*(Seguimientos!$F$2:$F$1013=F442)*(Seguimientos!$B$2:$B$1013&gt;B442)*(Seguimientos!$H$2:$H$1013&lt;&gt;""))=0,1,0))</f>
        <v/>
      </c>
      <c r="K442" s="7">
        <f>A442&amp;"|"&amp;B442</f>
        <v/>
      </c>
      <c r="L442" s="13" t="inlineStr">
        <is>
          <t>ACTIVIDAD COMPLETADA</t>
        </is>
      </c>
    </row>
    <row r="443">
      <c r="A443" s="7" t="inlineStr">
        <is>
          <t>sgc-2023-42</t>
        </is>
      </c>
      <c r="B443" s="7" t="n">
        <v>9</v>
      </c>
      <c r="C443" s="7" t="inlineStr">
        <is>
          <t>SGC</t>
        </is>
      </c>
      <c r="D443" s="7" t="inlineStr">
        <is>
          <t>2023</t>
        </is>
      </c>
      <c r="E443" s="7" t="n">
        <v>42</v>
      </c>
      <c r="F443" s="8" t="n">
        <v>46203</v>
      </c>
      <c r="G443" s="7" t="inlineStr">
        <is>
          <t>JOAN IMAYINNE GALVIS MORENO</t>
        </is>
      </c>
      <c r="H443" s="14" t="n">
        <v>2</v>
      </c>
      <c r="I443" s="15">
        <f>IF(H443="","",H443/2)</f>
        <v/>
      </c>
      <c r="J443" s="7">
        <f>IF(H443="",0,IF(SUMPRODUCT((Seguimientos!$A$2:$A$1013=A443)*(Seguimientos!$F$2:$F$1013=F443)*(Seguimientos!$B$2:$B$1013&gt;B443)*(Seguimientos!$H$2:$H$1013&lt;&gt;""))=0,1,0))</f>
        <v/>
      </c>
      <c r="K443" s="7">
        <f>A443&amp;"|"&amp;B443</f>
        <v/>
      </c>
      <c r="L443" s="13" t="inlineStr">
        <is>
          <t>ACTIVIDAD COMPLETADA</t>
        </is>
      </c>
    </row>
    <row r="444">
      <c r="A444" s="7" t="inlineStr">
        <is>
          <t>sgc-2023-43</t>
        </is>
      </c>
      <c r="B444" s="7" t="n">
        <v>1</v>
      </c>
      <c r="C444" s="7" t="inlineStr">
        <is>
          <t>SGC</t>
        </is>
      </c>
      <c r="D444" s="7" t="inlineStr">
        <is>
          <t>2023</t>
        </is>
      </c>
      <c r="E444" s="7" t="n">
        <v>43</v>
      </c>
      <c r="F444" s="8" t="n">
        <v>45405</v>
      </c>
      <c r="G444" s="7" t="inlineStr">
        <is>
          <t>DANIEL EDUARDO SOTO BERNAL</t>
        </is>
      </c>
      <c r="H444" s="14" t="n">
        <v>0</v>
      </c>
      <c r="I444" s="15">
        <f>IF(H444="","",H444/2)</f>
        <v/>
      </c>
      <c r="J444" s="7">
        <f>IF(H444="",0,IF(SUMPRODUCT((Seguimientos!$A$2:$A$1013=A444)*(Seguimientos!$F$2:$F$1013=F444)*(Seguimientos!$B$2:$B$1013&gt;B444)*(Seguimientos!$H$2:$H$1013&lt;&gt;""))=0,1,0))</f>
        <v/>
      </c>
      <c r="K444" s="7">
        <f>A444&amp;"|"&amp;B444</f>
        <v/>
      </c>
      <c r="L444" s="13" t="inlineStr">
        <is>
          <t>Actividad pendiente por cumplir, No soportan evidencia.</t>
        </is>
      </c>
    </row>
    <row r="445">
      <c r="A445" s="7" t="inlineStr">
        <is>
          <t>sgc-2023-43</t>
        </is>
      </c>
      <c r="B445" s="7" t="n">
        <v>2</v>
      </c>
      <c r="C445" s="7" t="inlineStr">
        <is>
          <t>SGC</t>
        </is>
      </c>
      <c r="D445" s="7" t="inlineStr">
        <is>
          <t>2023</t>
        </is>
      </c>
      <c r="E445" s="7" t="n">
        <v>43</v>
      </c>
      <c r="F445" s="8" t="n">
        <v>45497</v>
      </c>
      <c r="G445" s="7" t="inlineStr">
        <is>
          <t>DANIEL EDUARDO SOTO BERNAL</t>
        </is>
      </c>
      <c r="H445" s="14" t="n">
        <v>1</v>
      </c>
      <c r="I445" s="15">
        <f>IF(H445="","",H445/2)</f>
        <v/>
      </c>
      <c r="J445" s="7">
        <f>IF(H445="",0,IF(SUMPRODUCT((Seguimientos!$A$2:$A$1013=A445)*(Seguimientos!$F$2:$F$1013=F445)*(Seguimientos!$B$2:$B$1013&gt;B445)*(Seguimientos!$H$2:$H$1013&lt;&gt;""))=0,1,0))</f>
        <v/>
      </c>
      <c r="K445" s="7">
        <f>A445&amp;"|"&amp;B445</f>
        <v/>
      </c>
      <c r="L445" s="13" t="inlineStr">
        <is>
          <t>Se realizaron mesas de trabajo con los sistemas integrados de gestión los días: 30/05/2024 No se anexo 17/06/2024 05/07/2024 18/07/2024 Se adjuntan los listados de asistencias.</t>
        </is>
      </c>
    </row>
    <row r="446">
      <c r="A446" s="7" t="inlineStr">
        <is>
          <t>sgc-2023-43</t>
        </is>
      </c>
      <c r="B446" s="7" t="n">
        <v>3</v>
      </c>
      <c r="C446" s="7" t="inlineStr">
        <is>
          <t>SGC</t>
        </is>
      </c>
      <c r="D446" s="7" t="inlineStr">
        <is>
          <t>2023</t>
        </is>
      </c>
      <c r="E446" s="7" t="n">
        <v>43</v>
      </c>
      <c r="F446" s="8" t="n">
        <v>45583</v>
      </c>
      <c r="G446" s="7" t="inlineStr">
        <is>
          <t>DANIEL EDUARDO SOTO BERNAL</t>
        </is>
      </c>
      <c r="H446" s="14" t="n">
        <v>1</v>
      </c>
      <c r="I446" s="15">
        <f>IF(H446="","",H446/2)</f>
        <v/>
      </c>
      <c r="J446" s="7">
        <f>IF(H446="",0,IF(SUMPRODUCT((Seguimientos!$A$2:$A$1013=A446)*(Seguimientos!$F$2:$F$1013=F446)*(Seguimientos!$B$2:$B$1013&gt;B446)*(Seguimientos!$H$2:$H$1013&lt;&gt;""))=0,1,0))</f>
        <v/>
      </c>
      <c r="K446" s="7">
        <f>A446&amp;"|"&amp;B446</f>
        <v/>
      </c>
      <c r="L446" s="13" t="inlineStr">
        <is>
          <t>Se adjunta Acta No. 006 donde en el punto 5, literal a, se evidencia el Plan de implementación de los Sistemas de Gestión. Acta sin suscribir por la Doctora Vilma Moreno</t>
        </is>
      </c>
    </row>
    <row r="447">
      <c r="A447" s="7" t="inlineStr">
        <is>
          <t>sgc-2023-43</t>
        </is>
      </c>
      <c r="B447" s="7" t="n">
        <v>4</v>
      </c>
      <c r="C447" s="7" t="inlineStr">
        <is>
          <t>SGC</t>
        </is>
      </c>
      <c r="D447" s="7" t="inlineStr">
        <is>
          <t>2023</t>
        </is>
      </c>
      <c r="E447" s="7" t="n">
        <v>43</v>
      </c>
      <c r="F447" s="8" t="n">
        <v>45777</v>
      </c>
      <c r="G447" s="7" t="inlineStr">
        <is>
          <t>DANIEL EDUARDO SOTO BERNAL</t>
        </is>
      </c>
      <c r="H447" s="14" t="n">
        <v>1.5</v>
      </c>
      <c r="I447" s="15">
        <f>IF(H447="","",H447/2)</f>
        <v/>
      </c>
      <c r="J447" s="7">
        <f>IF(H447="",0,IF(SUMPRODUCT((Seguimientos!$A$2:$A$1013=A447)*(Seguimientos!$F$2:$F$1013=F447)*(Seguimientos!$B$2:$B$1013&gt;B447)*(Seguimientos!$H$2:$H$1013&lt;&gt;""))=0,1,0))</f>
        <v/>
      </c>
      <c r="K447" s="7">
        <f>A447&amp;"|"&amp;B447</f>
        <v/>
      </c>
      <c r="L447" s="13" t="inlineStr">
        <is>
          <t>Se adjunta el plan de implementación correspondiente que respalda esta asignación. Documento no se encuentra dentro registro controlado por sistema de gestión de calidad de la Universidad, ni firmado por jefe de Dirección o coordinación de área.</t>
        </is>
      </c>
    </row>
    <row r="448">
      <c r="A448" s="7" t="inlineStr">
        <is>
          <t>sgc-2023-43</t>
        </is>
      </c>
      <c r="B448" s="7" t="n">
        <v>5</v>
      </c>
      <c r="C448" s="7" t="inlineStr">
        <is>
          <t>SGC</t>
        </is>
      </c>
      <c r="D448" s="7" t="inlineStr">
        <is>
          <t>2023</t>
        </is>
      </c>
      <c r="E448" s="7" t="n">
        <v>43</v>
      </c>
      <c r="F448" s="8" t="n">
        <v>45838</v>
      </c>
      <c r="G448" s="7" t="inlineStr">
        <is>
          <t>DANIEL EDUARDO SOTO BERNAL</t>
        </is>
      </c>
      <c r="H448" s="14" t="n">
        <v>1.5</v>
      </c>
      <c r="I448" s="15">
        <f>IF(H448="","",H448/2)</f>
        <v/>
      </c>
      <c r="J448" s="7">
        <f>IF(H448="",0,IF(SUMPRODUCT((Seguimientos!$A$2:$A$1013=A448)*(Seguimientos!$F$2:$F$1013=F448)*(Seguimientos!$B$2:$B$1013&gt;B448)*(Seguimientos!$H$2:$H$1013&lt;&gt;""))=0,1,0))</f>
        <v/>
      </c>
      <c r="K448" s="7">
        <f>A448&amp;"|"&amp;B448</f>
        <v/>
      </c>
      <c r="L448" s="13" t="inlineStr">
        <is>
          <t>Actividad pendiente por cumplir, No soportan evidencia.</t>
        </is>
      </c>
    </row>
    <row r="449">
      <c r="A449" s="7" t="inlineStr">
        <is>
          <t>sgc-2023-43</t>
        </is>
      </c>
      <c r="B449" s="7" t="n">
        <v>6</v>
      </c>
      <c r="C449" s="7" t="inlineStr">
        <is>
          <t>SGC</t>
        </is>
      </c>
      <c r="D449" s="7" t="inlineStr">
        <is>
          <t>2023</t>
        </is>
      </c>
      <c r="E449" s="7" t="n">
        <v>43</v>
      </c>
      <c r="F449" s="8" t="n">
        <v>45930</v>
      </c>
      <c r="G449" s="7" t="inlineStr">
        <is>
          <t>JOAN IMAYINNE GALVIS MORENO</t>
        </is>
      </c>
      <c r="H449" s="14" t="n">
        <v>1.5</v>
      </c>
      <c r="I449" s="15">
        <f>IF(H449="","",H449/2)</f>
        <v/>
      </c>
      <c r="J449" s="7">
        <f>IF(H449="",0,IF(SUMPRODUCT((Seguimientos!$A$2:$A$1013=A449)*(Seguimientos!$F$2:$F$1013=F449)*(Seguimientos!$B$2:$B$1013&gt;B449)*(Seguimientos!$H$2:$H$1013&lt;&gt;""))=0,1,0))</f>
        <v/>
      </c>
      <c r="K449" s="7">
        <f>A449&amp;"|"&amp;B449</f>
        <v/>
      </c>
      <c r="L449" s="13" t="inlineStr">
        <is>
          <t>Actividad pendiente por cumplir, No soportan evidencia.</t>
        </is>
      </c>
    </row>
    <row r="450">
      <c r="A450" s="7" t="inlineStr">
        <is>
          <t>sgc-2023-43</t>
        </is>
      </c>
      <c r="B450" s="7" t="n">
        <v>7</v>
      </c>
      <c r="C450" s="7" t="inlineStr">
        <is>
          <t>SGC</t>
        </is>
      </c>
      <c r="D450" s="7" t="inlineStr">
        <is>
          <t>2023</t>
        </is>
      </c>
      <c r="E450" s="7" t="n">
        <v>43</v>
      </c>
      <c r="F450" s="8" t="n">
        <v>46021</v>
      </c>
      <c r="G450" s="7" t="inlineStr">
        <is>
          <t>JOAN IMAYINNE GALVIS MORENO</t>
        </is>
      </c>
      <c r="H450" s="14" t="n">
        <v>1.5</v>
      </c>
      <c r="I450" s="15">
        <f>IF(H450="","",H450/2)</f>
        <v/>
      </c>
      <c r="J450" s="7">
        <f>IF(H450="",0,IF(SUMPRODUCT((Seguimientos!$A$2:$A$1013=A450)*(Seguimientos!$F$2:$F$1013=F450)*(Seguimientos!$B$2:$B$1013&gt;B450)*(Seguimientos!$H$2:$H$1013&lt;&gt;""))=0,1,0))</f>
        <v/>
      </c>
      <c r="K450" s="7">
        <f>A450&amp;"|"&amp;B450</f>
        <v/>
      </c>
      <c r="L450" s="13" t="inlineStr">
        <is>
          <t>Actividad pendiente por cumplir, No soportan evidencia.</t>
        </is>
      </c>
    </row>
    <row r="451">
      <c r="A451" s="7" t="inlineStr">
        <is>
          <t>sgc-2023-43</t>
        </is>
      </c>
      <c r="B451" s="7" t="n">
        <v>8</v>
      </c>
      <c r="C451" s="7" t="inlineStr">
        <is>
          <t>SGC</t>
        </is>
      </c>
      <c r="D451" s="7" t="inlineStr">
        <is>
          <t>2023</t>
        </is>
      </c>
      <c r="E451" s="7" t="n">
        <v>43</v>
      </c>
      <c r="F451" s="8" t="n">
        <v>46142</v>
      </c>
      <c r="G451" s="7" t="inlineStr">
        <is>
          <t>JOAN IMAYINNE GALVIS MORENO</t>
        </is>
      </c>
      <c r="H451" s="14" t="n">
        <v>1.5</v>
      </c>
      <c r="I451" s="15">
        <f>IF(H451="","",H451/2)</f>
        <v/>
      </c>
      <c r="J451" s="7">
        <f>IF(H451="",0,IF(SUMPRODUCT((Seguimientos!$A$2:$A$1013=A451)*(Seguimientos!$F$2:$F$1013=F451)*(Seguimientos!$B$2:$B$1013&gt;B451)*(Seguimientos!$H$2:$H$1013&lt;&gt;""))=0,1,0))</f>
        <v/>
      </c>
      <c r="K451" s="7">
        <f>A451&amp;"|"&amp;B451</f>
        <v/>
      </c>
      <c r="L451" s="13" t="inlineStr"/>
    </row>
    <row r="452">
      <c r="A452" s="7" t="inlineStr">
        <is>
          <t>sgc-2023-43</t>
        </is>
      </c>
      <c r="B452" s="7" t="n">
        <v>9</v>
      </c>
      <c r="C452" s="7" t="inlineStr">
        <is>
          <t>SGC</t>
        </is>
      </c>
      <c r="D452" s="7" t="inlineStr">
        <is>
          <t>2023</t>
        </is>
      </c>
      <c r="E452" s="7" t="n">
        <v>43</v>
      </c>
      <c r="F452" s="8" t="n">
        <v>46203</v>
      </c>
      <c r="G452" s="7" t="inlineStr">
        <is>
          <t>JOAN IMAYINNE GALVIS MORENO</t>
        </is>
      </c>
      <c r="H452" s="14" t="n">
        <v>1.5</v>
      </c>
      <c r="I452" s="15">
        <f>IF(H452="","",H452/2)</f>
        <v/>
      </c>
      <c r="J452" s="7">
        <f>IF(H452="",0,IF(SUMPRODUCT((Seguimientos!$A$2:$A$1013=A452)*(Seguimientos!$F$2:$F$1013=F452)*(Seguimientos!$B$2:$B$1013&gt;B452)*(Seguimientos!$H$2:$H$1013&lt;&gt;""))=0,1,0))</f>
        <v/>
      </c>
      <c r="K452" s="7">
        <f>A452&amp;"|"&amp;B452</f>
        <v/>
      </c>
      <c r="L452" s="13" t="inlineStr"/>
    </row>
    <row r="453">
      <c r="A453" s="7" t="inlineStr">
        <is>
          <t>sgc-2023-44</t>
        </is>
      </c>
      <c r="B453" s="7" t="n">
        <v>1</v>
      </c>
      <c r="C453" s="7" t="inlineStr">
        <is>
          <t>SGC</t>
        </is>
      </c>
      <c r="D453" s="7" t="inlineStr">
        <is>
          <t>2023</t>
        </is>
      </c>
      <c r="E453" s="7" t="n">
        <v>44</v>
      </c>
      <c r="F453" s="8" t="n">
        <v>45405</v>
      </c>
      <c r="G453" s="7" t="inlineStr">
        <is>
          <t>DANIEL EDUARDO SOTO BERNAL</t>
        </is>
      </c>
      <c r="H453" s="14" t="n">
        <v>0</v>
      </c>
      <c r="I453" s="15">
        <f>IF(H453="","",H453/2)</f>
        <v/>
      </c>
      <c r="J453" s="7">
        <f>IF(H453="",0,IF(SUMPRODUCT((Seguimientos!$A$2:$A$1013=A453)*(Seguimientos!$F$2:$F$1013=F453)*(Seguimientos!$B$2:$B$1013&gt;B453)*(Seguimientos!$H$2:$H$1013&lt;&gt;""))=0,1,0))</f>
        <v/>
      </c>
      <c r="K453" s="7">
        <f>A453&amp;"|"&amp;B453</f>
        <v/>
      </c>
      <c r="L453" s="13" t="inlineStr">
        <is>
          <t>Sin avance para el primer trimestre de la vigencia 2024.</t>
        </is>
      </c>
    </row>
    <row r="454">
      <c r="A454" s="7" t="inlineStr">
        <is>
          <t>sgc-2023-44</t>
        </is>
      </c>
      <c r="B454" s="7" t="n">
        <v>2</v>
      </c>
      <c r="C454" s="7" t="inlineStr">
        <is>
          <t>SGC</t>
        </is>
      </c>
      <c r="D454" s="7" t="inlineStr">
        <is>
          <t>2023</t>
        </is>
      </c>
      <c r="E454" s="7" t="n">
        <v>44</v>
      </c>
      <c r="F454" s="8" t="n">
        <v>45497</v>
      </c>
      <c r="G454" s="7" t="inlineStr">
        <is>
          <t>DANIEL EDUARDO SOTO BERNAL</t>
        </is>
      </c>
      <c r="H454" s="14" t="n">
        <v>1.5</v>
      </c>
      <c r="I454" s="15">
        <f>IF(H454="","",H454/2)</f>
        <v/>
      </c>
      <c r="J454" s="7">
        <f>IF(H454="",0,IF(SUMPRODUCT((Seguimientos!$A$2:$A$1013=A454)*(Seguimientos!$F$2:$F$1013=F454)*(Seguimientos!$B$2:$B$1013&gt;B454)*(Seguimientos!$H$2:$H$1013&lt;&gt;""))=0,1,0))</f>
        <v/>
      </c>
      <c r="K454" s="7">
        <f>A454&amp;"|"&amp;B454</f>
        <v/>
      </c>
      <c r="L454" s="13" t="inlineStr">
        <is>
          <t>El cronograma de actualización se encuentra sujeto a los planes de mejoramiento con fuente de identificación auditoria interna del CGC vigencia 2023.</t>
        </is>
      </c>
    </row>
    <row r="455">
      <c r="A455" s="7" t="inlineStr">
        <is>
          <t>sgc-2023-44</t>
        </is>
      </c>
      <c r="B455" s="7" t="n">
        <v>3</v>
      </c>
      <c r="C455" s="7" t="inlineStr">
        <is>
          <t>SGC</t>
        </is>
      </c>
      <c r="D455" s="7" t="inlineStr">
        <is>
          <t>2023</t>
        </is>
      </c>
      <c r="E455" s="7" t="n">
        <v>44</v>
      </c>
      <c r="F455" s="8" t="n">
        <v>45583</v>
      </c>
      <c r="G455" s="7" t="inlineStr">
        <is>
          <t>DANIEL EDUARDO SOTO BERNAL</t>
        </is>
      </c>
      <c r="H455" s="14" t="n">
        <v>1.5</v>
      </c>
      <c r="I455" s="15">
        <f>IF(H455="","",H455/2)</f>
        <v/>
      </c>
      <c r="J455" s="7">
        <f>IF(H455="",0,IF(SUMPRODUCT((Seguimientos!$A$2:$A$1013=A455)*(Seguimientos!$F$2:$F$1013=F455)*(Seguimientos!$B$2:$B$1013&gt;B455)*(Seguimientos!$H$2:$H$1013&lt;&gt;""))=0,1,0))</f>
        <v/>
      </c>
      <c r="K455" s="7">
        <f>A455&amp;"|"&amp;B455</f>
        <v/>
      </c>
      <c r="L455" s="13" t="inlineStr">
        <is>
          <t>El cronograma de actualización se encuentra sujeto a los planes de mejoramiento con fuente de identificación auditoria interna del CGC vigencia 2023.</t>
        </is>
      </c>
    </row>
    <row r="456">
      <c r="A456" s="7" t="inlineStr">
        <is>
          <t>sgc-2023-44</t>
        </is>
      </c>
      <c r="B456" s="7" t="n">
        <v>4</v>
      </c>
      <c r="C456" s="7" t="inlineStr">
        <is>
          <t>SGC</t>
        </is>
      </c>
      <c r="D456" s="7" t="inlineStr">
        <is>
          <t>2023</t>
        </is>
      </c>
      <c r="E456" s="7" t="n">
        <v>44</v>
      </c>
      <c r="F456" s="8" t="n">
        <v>45777</v>
      </c>
      <c r="G456" s="7" t="inlineStr">
        <is>
          <t>DANIEL EDUARDO SOTO BERNAL</t>
        </is>
      </c>
      <c r="H456" s="14" t="n">
        <v>2</v>
      </c>
      <c r="I456" s="15">
        <f>IF(H456="","",H456/2)</f>
        <v/>
      </c>
      <c r="J456" s="7">
        <f>IF(H456="",0,IF(SUMPRODUCT((Seguimientos!$A$2:$A$1013=A456)*(Seguimientos!$F$2:$F$1013=F456)*(Seguimientos!$B$2:$B$1013&gt;B456)*(Seguimientos!$H$2:$H$1013&lt;&gt;""))=0,1,0))</f>
        <v/>
      </c>
      <c r="K456" s="7">
        <f>A456&amp;"|"&amp;B456</f>
        <v/>
      </c>
      <c r="L456" s="13" t="inlineStr">
        <is>
          <t>28-04-2025 Se adjunta cronograma denominado " ruta critica de actualización documental 2024"</t>
        </is>
      </c>
    </row>
    <row r="457">
      <c r="A457" s="7" t="inlineStr">
        <is>
          <t>sgc-2023-44</t>
        </is>
      </c>
      <c r="B457" s="7" t="n">
        <v>5</v>
      </c>
      <c r="C457" s="7" t="inlineStr">
        <is>
          <t>SGC</t>
        </is>
      </c>
      <c r="D457" s="7" t="inlineStr">
        <is>
          <t>2023</t>
        </is>
      </c>
      <c r="E457" s="7" t="n">
        <v>44</v>
      </c>
      <c r="F457" s="8" t="n">
        <v>45838</v>
      </c>
      <c r="G457" s="7" t="inlineStr">
        <is>
          <t>DANIEL EDUARDO SOTO BERNAL</t>
        </is>
      </c>
      <c r="H457" s="14" t="n">
        <v>2</v>
      </c>
      <c r="I457" s="15">
        <f>IF(H457="","",H457/2)</f>
        <v/>
      </c>
      <c r="J457" s="7">
        <f>IF(H457="",0,IF(SUMPRODUCT((Seguimientos!$A$2:$A$1013=A457)*(Seguimientos!$F$2:$F$1013=F457)*(Seguimientos!$B$2:$B$1013&gt;B457)*(Seguimientos!$H$2:$H$1013&lt;&gt;""))=0,1,0))</f>
        <v/>
      </c>
      <c r="K457" s="7">
        <f>A457&amp;"|"&amp;B457</f>
        <v/>
      </c>
      <c r="L457" s="13" t="inlineStr">
        <is>
          <t>ACTIVIDAD COMPLETADA</t>
        </is>
      </c>
    </row>
    <row r="458">
      <c r="A458" s="7" t="inlineStr">
        <is>
          <t>sgc-2023-44</t>
        </is>
      </c>
      <c r="B458" s="7" t="n">
        <v>6</v>
      </c>
      <c r="C458" s="7" t="inlineStr">
        <is>
          <t>SGC</t>
        </is>
      </c>
      <c r="D458" s="7" t="inlineStr">
        <is>
          <t>2023</t>
        </is>
      </c>
      <c r="E458" s="7" t="n">
        <v>44</v>
      </c>
      <c r="F458" s="8" t="n">
        <v>45930</v>
      </c>
      <c r="G458" s="7" t="inlineStr">
        <is>
          <t>JOAN IMAYINNE GALVIS MORENO</t>
        </is>
      </c>
      <c r="H458" s="14" t="n">
        <v>2</v>
      </c>
      <c r="I458" s="15">
        <f>IF(H458="","",H458/2)</f>
        <v/>
      </c>
      <c r="J458" s="7">
        <f>IF(H458="",0,IF(SUMPRODUCT((Seguimientos!$A$2:$A$1013=A458)*(Seguimientos!$F$2:$F$1013=F458)*(Seguimientos!$B$2:$B$1013&gt;B458)*(Seguimientos!$H$2:$H$1013&lt;&gt;""))=0,1,0))</f>
        <v/>
      </c>
      <c r="K458" s="7">
        <f>A458&amp;"|"&amp;B458</f>
        <v/>
      </c>
      <c r="L458" s="13" t="inlineStr">
        <is>
          <t>ACTIVIDAD COMPLETADA</t>
        </is>
      </c>
    </row>
    <row r="459">
      <c r="A459" s="7" t="inlineStr">
        <is>
          <t>sgc-2023-44</t>
        </is>
      </c>
      <c r="B459" s="7" t="n">
        <v>7</v>
      </c>
      <c r="C459" s="7" t="inlineStr">
        <is>
          <t>SGC</t>
        </is>
      </c>
      <c r="D459" s="7" t="inlineStr">
        <is>
          <t>2023</t>
        </is>
      </c>
      <c r="E459" s="7" t="n">
        <v>44</v>
      </c>
      <c r="F459" s="8" t="n">
        <v>46021</v>
      </c>
      <c r="G459" s="7" t="inlineStr">
        <is>
          <t>JOAN IMAYINNE GALVIS MORENO</t>
        </is>
      </c>
      <c r="H459" s="14" t="n">
        <v>2</v>
      </c>
      <c r="I459" s="15">
        <f>IF(H459="","",H459/2)</f>
        <v/>
      </c>
      <c r="J459" s="7">
        <f>IF(H459="",0,IF(SUMPRODUCT((Seguimientos!$A$2:$A$1013=A459)*(Seguimientos!$F$2:$F$1013=F459)*(Seguimientos!$B$2:$B$1013&gt;B459)*(Seguimientos!$H$2:$H$1013&lt;&gt;""))=0,1,0))</f>
        <v/>
      </c>
      <c r="K459" s="7">
        <f>A459&amp;"|"&amp;B459</f>
        <v/>
      </c>
      <c r="L459" s="13" t="inlineStr">
        <is>
          <t>ACTIVIDAD COMPLETADA</t>
        </is>
      </c>
    </row>
    <row r="460">
      <c r="A460" s="7" t="inlineStr">
        <is>
          <t>sgc-2023-44</t>
        </is>
      </c>
      <c r="B460" s="7" t="n">
        <v>8</v>
      </c>
      <c r="C460" s="7" t="inlineStr">
        <is>
          <t>SGC</t>
        </is>
      </c>
      <c r="D460" s="7" t="inlineStr">
        <is>
          <t>2023</t>
        </is>
      </c>
      <c r="E460" s="7" t="n">
        <v>44</v>
      </c>
      <c r="F460" s="8" t="n">
        <v>46142</v>
      </c>
      <c r="G460" s="7" t="inlineStr">
        <is>
          <t>JOAN IMAYINNE GALVIS MORENO</t>
        </is>
      </c>
      <c r="H460" s="14" t="n">
        <v>2</v>
      </c>
      <c r="I460" s="15">
        <f>IF(H460="","",H460/2)</f>
        <v/>
      </c>
      <c r="J460" s="7">
        <f>IF(H460="",0,IF(SUMPRODUCT((Seguimientos!$A$2:$A$1013=A460)*(Seguimientos!$F$2:$F$1013=F460)*(Seguimientos!$B$2:$B$1013&gt;B460)*(Seguimientos!$H$2:$H$1013&lt;&gt;""))=0,1,0))</f>
        <v/>
      </c>
      <c r="K460" s="7">
        <f>A460&amp;"|"&amp;B460</f>
        <v/>
      </c>
      <c r="L460" s="13" t="inlineStr">
        <is>
          <t>ACTIVIDAD COMPLETADA</t>
        </is>
      </c>
    </row>
    <row r="461">
      <c r="A461" s="7" t="inlineStr">
        <is>
          <t>sgc-2023-44</t>
        </is>
      </c>
      <c r="B461" s="7" t="n">
        <v>9</v>
      </c>
      <c r="C461" s="7" t="inlineStr">
        <is>
          <t>SGC</t>
        </is>
      </c>
      <c r="D461" s="7" t="inlineStr">
        <is>
          <t>2023</t>
        </is>
      </c>
      <c r="E461" s="7" t="n">
        <v>44</v>
      </c>
      <c r="F461" s="8" t="n">
        <v>46203</v>
      </c>
      <c r="G461" s="7" t="inlineStr">
        <is>
          <t>JOAN IMAYINNE GALVIS MORENO</t>
        </is>
      </c>
      <c r="H461" s="14" t="n">
        <v>2</v>
      </c>
      <c r="I461" s="15">
        <f>IF(H461="","",H461/2)</f>
        <v/>
      </c>
      <c r="J461" s="7">
        <f>IF(H461="",0,IF(SUMPRODUCT((Seguimientos!$A$2:$A$1013=A461)*(Seguimientos!$F$2:$F$1013=F461)*(Seguimientos!$B$2:$B$1013&gt;B461)*(Seguimientos!$H$2:$H$1013&lt;&gt;""))=0,1,0))</f>
        <v/>
      </c>
      <c r="K461" s="7">
        <f>A461&amp;"|"&amp;B461</f>
        <v/>
      </c>
      <c r="L461" s="13" t="inlineStr">
        <is>
          <t>ACTIVIDAD COMPLETADA</t>
        </is>
      </c>
    </row>
    <row r="462">
      <c r="A462" s="7" t="inlineStr">
        <is>
          <t>sgc-2023-45</t>
        </is>
      </c>
      <c r="B462" s="7" t="n">
        <v>1</v>
      </c>
      <c r="C462" s="7" t="inlineStr">
        <is>
          <t>SGC</t>
        </is>
      </c>
      <c r="D462" s="7" t="inlineStr">
        <is>
          <t>2023</t>
        </is>
      </c>
      <c r="E462" s="7" t="n">
        <v>45</v>
      </c>
      <c r="F462" s="8" t="n">
        <v>45405</v>
      </c>
      <c r="G462" s="7" t="inlineStr">
        <is>
          <t>DANIEL EDUARDO SOTO BERNAL</t>
        </is>
      </c>
      <c r="H462" s="14" t="n">
        <v>0</v>
      </c>
      <c r="I462" s="15">
        <f>IF(H462="","",H462/2)</f>
        <v/>
      </c>
      <c r="J462" s="7">
        <f>IF(H462="",0,IF(SUMPRODUCT((Seguimientos!$A$2:$A$1013=A462)*(Seguimientos!$F$2:$F$1013=F462)*(Seguimientos!$B$2:$B$1013&gt;B462)*(Seguimientos!$H$2:$H$1013&lt;&gt;""))=0,1,0))</f>
        <v/>
      </c>
      <c r="K462" s="7">
        <f>A462&amp;"|"&amp;B462</f>
        <v/>
      </c>
      <c r="L462" s="13" t="inlineStr">
        <is>
          <t>Actividad pendiente por cumplir, No soportan evidencia.</t>
        </is>
      </c>
    </row>
    <row r="463">
      <c r="A463" s="7" t="inlineStr">
        <is>
          <t>sgc-2023-45</t>
        </is>
      </c>
      <c r="B463" s="7" t="n">
        <v>2</v>
      </c>
      <c r="C463" s="7" t="inlineStr">
        <is>
          <t>SGC</t>
        </is>
      </c>
      <c r="D463" s="7" t="inlineStr">
        <is>
          <t>2023</t>
        </is>
      </c>
      <c r="E463" s="7" t="n">
        <v>45</v>
      </c>
      <c r="F463" s="8" t="n">
        <v>45497</v>
      </c>
      <c r="G463" s="7" t="inlineStr">
        <is>
          <t>DANIEL EDUARDO SOTO BERNAL</t>
        </is>
      </c>
      <c r="H463" s="14" t="n">
        <v>1.5</v>
      </c>
      <c r="I463" s="15">
        <f>IF(H463="","",H463/2)</f>
        <v/>
      </c>
      <c r="J463" s="7">
        <f>IF(H463="",0,IF(SUMPRODUCT((Seguimientos!$A$2:$A$1013=A463)*(Seguimientos!$F$2:$F$1013=F463)*(Seguimientos!$B$2:$B$1013&gt;B463)*(Seguimientos!$H$2:$H$1013&lt;&gt;""))=0,1,0))</f>
        <v/>
      </c>
      <c r="K463" s="7">
        <f>A463&amp;"|"&amp;B463</f>
        <v/>
      </c>
      <c r="L463" s="13" t="inlineStr">
        <is>
          <t>El cronograma de actualización se encuentra sujeto a los planes de mejoramiento con fuente de identificación auditoria interna del CGC vigencia 2023.</t>
        </is>
      </c>
    </row>
    <row r="464">
      <c r="A464" s="7" t="inlineStr">
        <is>
          <t>sgc-2023-45</t>
        </is>
      </c>
      <c r="B464" s="7" t="n">
        <v>3</v>
      </c>
      <c r="C464" s="7" t="inlineStr">
        <is>
          <t>SGC</t>
        </is>
      </c>
      <c r="D464" s="7" t="inlineStr">
        <is>
          <t>2023</t>
        </is>
      </c>
      <c r="E464" s="7" t="n">
        <v>45</v>
      </c>
      <c r="F464" s="8" t="n">
        <v>45583</v>
      </c>
      <c r="G464" s="7" t="inlineStr">
        <is>
          <t>DANIEL EDUARDO SOTO BERNAL</t>
        </is>
      </c>
      <c r="H464" s="14" t="n">
        <v>1.5</v>
      </c>
      <c r="I464" s="15">
        <f>IF(H464="","",H464/2)</f>
        <v/>
      </c>
      <c r="J464" s="7">
        <f>IF(H464="",0,IF(SUMPRODUCT((Seguimientos!$A$2:$A$1013=A464)*(Seguimientos!$F$2:$F$1013=F464)*(Seguimientos!$B$2:$B$1013&gt;B464)*(Seguimientos!$H$2:$H$1013&lt;&gt;""))=0,1,0))</f>
        <v/>
      </c>
      <c r="K464" s="7">
        <f>A464&amp;"|"&amp;B464</f>
        <v/>
      </c>
      <c r="L464" s="13" t="inlineStr">
        <is>
          <t>El cronograma de actualización se encuentra sujeto a los planes de mejoramiento con fuente de identificación auditoria interna del CGC vigencia 2023.</t>
        </is>
      </c>
    </row>
    <row r="465">
      <c r="A465" s="7" t="inlineStr">
        <is>
          <t>sgc-2023-45</t>
        </is>
      </c>
      <c r="B465" s="7" t="n">
        <v>4</v>
      </c>
      <c r="C465" s="7" t="inlineStr">
        <is>
          <t>SGC</t>
        </is>
      </c>
      <c r="D465" s="7" t="inlineStr">
        <is>
          <t>2023</t>
        </is>
      </c>
      <c r="E465" s="7" t="n">
        <v>45</v>
      </c>
      <c r="F465" s="8" t="n">
        <v>45777</v>
      </c>
      <c r="G465" s="7" t="inlineStr">
        <is>
          <t>DANIEL EDUARDO SOTO BERNAL</t>
        </is>
      </c>
      <c r="H465" s="14" t="n">
        <v>2</v>
      </c>
      <c r="I465" s="15">
        <f>IF(H465="","",H465/2)</f>
        <v/>
      </c>
      <c r="J465" s="7">
        <f>IF(H465="",0,IF(SUMPRODUCT((Seguimientos!$A$2:$A$1013=A465)*(Seguimientos!$F$2:$F$1013=F465)*(Seguimientos!$B$2:$B$1013&gt;B465)*(Seguimientos!$H$2:$H$1013&lt;&gt;""))=0,1,0))</f>
        <v/>
      </c>
      <c r="K465" s="7">
        <f>A465&amp;"|"&amp;B465</f>
        <v/>
      </c>
      <c r="L465" s="13" t="inlineStr">
        <is>
          <t>28-04-2025 Se adjunta consolidado de procedimientos actualizados durante la vigencia 2024</t>
        </is>
      </c>
    </row>
    <row r="466">
      <c r="A466" s="7" t="inlineStr">
        <is>
          <t>sgc-2023-45</t>
        </is>
      </c>
      <c r="B466" s="7" t="n">
        <v>5</v>
      </c>
      <c r="C466" s="7" t="inlineStr">
        <is>
          <t>SGC</t>
        </is>
      </c>
      <c r="D466" s="7" t="inlineStr">
        <is>
          <t>2023</t>
        </is>
      </c>
      <c r="E466" s="7" t="n">
        <v>45</v>
      </c>
      <c r="F466" s="8" t="n">
        <v>45838</v>
      </c>
      <c r="G466" s="7" t="inlineStr">
        <is>
          <t>DANIEL EDUARDO SOTO BERNAL</t>
        </is>
      </c>
      <c r="H466" s="14" t="n">
        <v>2</v>
      </c>
      <c r="I466" s="15">
        <f>IF(H466="","",H466/2)</f>
        <v/>
      </c>
      <c r="J466" s="7">
        <f>IF(H466="",0,IF(SUMPRODUCT((Seguimientos!$A$2:$A$1013=A466)*(Seguimientos!$F$2:$F$1013=F466)*(Seguimientos!$B$2:$B$1013&gt;B466)*(Seguimientos!$H$2:$H$1013&lt;&gt;""))=0,1,0))</f>
        <v/>
      </c>
      <c r="K466" s="7">
        <f>A466&amp;"|"&amp;B466</f>
        <v/>
      </c>
      <c r="L466" s="13" t="inlineStr">
        <is>
          <t>ACTIVIDAD COMPLETADA</t>
        </is>
      </c>
    </row>
    <row r="467">
      <c r="A467" s="7" t="inlineStr">
        <is>
          <t>sgc-2023-45</t>
        </is>
      </c>
      <c r="B467" s="7" t="n">
        <v>6</v>
      </c>
      <c r="C467" s="7" t="inlineStr">
        <is>
          <t>SGC</t>
        </is>
      </c>
      <c r="D467" s="7" t="inlineStr">
        <is>
          <t>2023</t>
        </is>
      </c>
      <c r="E467" s="7" t="n">
        <v>45</v>
      </c>
      <c r="F467" s="8" t="n">
        <v>45930</v>
      </c>
      <c r="G467" s="7" t="inlineStr">
        <is>
          <t>JOAN IMAYINNE GALVIS MORENO</t>
        </is>
      </c>
      <c r="H467" s="14" t="n">
        <v>2</v>
      </c>
      <c r="I467" s="15">
        <f>IF(H467="","",H467/2)</f>
        <v/>
      </c>
      <c r="J467" s="7">
        <f>IF(H467="",0,IF(SUMPRODUCT((Seguimientos!$A$2:$A$1013=A467)*(Seguimientos!$F$2:$F$1013=F467)*(Seguimientos!$B$2:$B$1013&gt;B467)*(Seguimientos!$H$2:$H$1013&lt;&gt;""))=0,1,0))</f>
        <v/>
      </c>
      <c r="K467" s="7">
        <f>A467&amp;"|"&amp;B467</f>
        <v/>
      </c>
      <c r="L467" s="13" t="inlineStr">
        <is>
          <t>ACTIVIDAD COMPLETADA</t>
        </is>
      </c>
    </row>
    <row r="468">
      <c r="A468" s="7" t="inlineStr">
        <is>
          <t>sgc-2023-45</t>
        </is>
      </c>
      <c r="B468" s="7" t="n">
        <v>7</v>
      </c>
      <c r="C468" s="7" t="inlineStr">
        <is>
          <t>SGC</t>
        </is>
      </c>
      <c r="D468" s="7" t="inlineStr">
        <is>
          <t>2023</t>
        </is>
      </c>
      <c r="E468" s="7" t="n">
        <v>45</v>
      </c>
      <c r="F468" s="8" t="n">
        <v>46021</v>
      </c>
      <c r="G468" s="7" t="inlineStr">
        <is>
          <t>JOAN IMAYINNE GALVIS MORENO</t>
        </is>
      </c>
      <c r="H468" s="14" t="n">
        <v>2</v>
      </c>
      <c r="I468" s="15">
        <f>IF(H468="","",H468/2)</f>
        <v/>
      </c>
      <c r="J468" s="7">
        <f>IF(H468="",0,IF(SUMPRODUCT((Seguimientos!$A$2:$A$1013=A468)*(Seguimientos!$F$2:$F$1013=F468)*(Seguimientos!$B$2:$B$1013&gt;B468)*(Seguimientos!$H$2:$H$1013&lt;&gt;""))=0,1,0))</f>
        <v/>
      </c>
      <c r="K468" s="7">
        <f>A468&amp;"|"&amp;B468</f>
        <v/>
      </c>
      <c r="L468" s="13" t="inlineStr">
        <is>
          <t>ACTIVIDAD COMPLETADA</t>
        </is>
      </c>
    </row>
    <row r="469">
      <c r="A469" s="7" t="inlineStr">
        <is>
          <t>sgc-2023-45</t>
        </is>
      </c>
      <c r="B469" s="7" t="n">
        <v>8</v>
      </c>
      <c r="C469" s="7" t="inlineStr">
        <is>
          <t>SGC</t>
        </is>
      </c>
      <c r="D469" s="7" t="inlineStr">
        <is>
          <t>2023</t>
        </is>
      </c>
      <c r="E469" s="7" t="n">
        <v>45</v>
      </c>
      <c r="F469" s="8" t="n">
        <v>46142</v>
      </c>
      <c r="G469" s="7" t="inlineStr">
        <is>
          <t>JOAN IMAYINNE GALVIS MORENO</t>
        </is>
      </c>
      <c r="H469" s="14" t="n">
        <v>2</v>
      </c>
      <c r="I469" s="15">
        <f>IF(H469="","",H469/2)</f>
        <v/>
      </c>
      <c r="J469" s="7">
        <f>IF(H469="",0,IF(SUMPRODUCT((Seguimientos!$A$2:$A$1013=A469)*(Seguimientos!$F$2:$F$1013=F469)*(Seguimientos!$B$2:$B$1013&gt;B469)*(Seguimientos!$H$2:$H$1013&lt;&gt;""))=0,1,0))</f>
        <v/>
      </c>
      <c r="K469" s="7">
        <f>A469&amp;"|"&amp;B469</f>
        <v/>
      </c>
      <c r="L469" s="13" t="inlineStr">
        <is>
          <t>ACTIVIDAD COMPLETADA</t>
        </is>
      </c>
    </row>
    <row r="470">
      <c r="A470" s="7" t="inlineStr">
        <is>
          <t>sgc-2023-45</t>
        </is>
      </c>
      <c r="B470" s="7" t="n">
        <v>9</v>
      </c>
      <c r="C470" s="7" t="inlineStr">
        <is>
          <t>SGC</t>
        </is>
      </c>
      <c r="D470" s="7" t="inlineStr">
        <is>
          <t>2023</t>
        </is>
      </c>
      <c r="E470" s="7" t="n">
        <v>45</v>
      </c>
      <c r="F470" s="8" t="n">
        <v>46203</v>
      </c>
      <c r="G470" s="7" t="inlineStr">
        <is>
          <t>JOAN IMAYINNE GALVIS MORENO</t>
        </is>
      </c>
      <c r="H470" s="14" t="n">
        <v>2</v>
      </c>
      <c r="I470" s="15">
        <f>IF(H470="","",H470/2)</f>
        <v/>
      </c>
      <c r="J470" s="7">
        <f>IF(H470="",0,IF(SUMPRODUCT((Seguimientos!$A$2:$A$1013=A470)*(Seguimientos!$F$2:$F$1013=F470)*(Seguimientos!$B$2:$B$1013&gt;B470)*(Seguimientos!$H$2:$H$1013&lt;&gt;""))=0,1,0))</f>
        <v/>
      </c>
      <c r="K470" s="7">
        <f>A470&amp;"|"&amp;B470</f>
        <v/>
      </c>
      <c r="L470" s="13" t="inlineStr">
        <is>
          <t>ACTIVIDAD COMPLETADA</t>
        </is>
      </c>
    </row>
    <row r="471">
      <c r="A471" s="7" t="inlineStr">
        <is>
          <t>sgc-2024-1</t>
        </is>
      </c>
      <c r="B471" s="7" t="n">
        <v>1</v>
      </c>
      <c r="C471" s="7" t="inlineStr">
        <is>
          <t>SGC</t>
        </is>
      </c>
      <c r="D471" s="7" t="inlineStr">
        <is>
          <t>2024</t>
        </is>
      </c>
      <c r="E471" s="7" t="n">
        <v>1</v>
      </c>
      <c r="F471" s="8" t="n">
        <v>45777</v>
      </c>
      <c r="G471" s="7" t="inlineStr">
        <is>
          <t>DANIEL EDUARDO SOTO BERNAL</t>
        </is>
      </c>
      <c r="H471" s="14" t="n">
        <v>0</v>
      </c>
      <c r="I471" s="15">
        <f>IF(H471="","",H471/2)</f>
        <v/>
      </c>
      <c r="J471" s="7">
        <f>IF(H471="",0,IF(SUMPRODUCT((Seguimientos!$A$2:$A$1013=A471)*(Seguimientos!$F$2:$F$1013=F471)*(Seguimientos!$B$2:$B$1013&gt;B471)*(Seguimientos!$H$2:$H$1013&lt;&gt;""))=0,1,0))</f>
        <v/>
      </c>
      <c r="K471" s="7">
        <f>A471&amp;"|"&amp;B471</f>
        <v/>
      </c>
      <c r="L471" s="13" t="inlineStr">
        <is>
          <t>EN TÉRMINOS DE EJECUCIÓN</t>
        </is>
      </c>
    </row>
    <row r="472">
      <c r="A472" s="7" t="inlineStr">
        <is>
          <t>sgc-2024-1</t>
        </is>
      </c>
      <c r="B472" s="7" t="n">
        <v>2</v>
      </c>
      <c r="C472" s="7" t="inlineStr">
        <is>
          <t>SGC</t>
        </is>
      </c>
      <c r="D472" s="7" t="inlineStr">
        <is>
          <t>2024</t>
        </is>
      </c>
      <c r="E472" s="7" t="n">
        <v>1</v>
      </c>
      <c r="F472" s="8" t="n">
        <v>45838</v>
      </c>
      <c r="G472" s="7" t="inlineStr">
        <is>
          <t>DANIEL EDUARDO SOTO BERNAL</t>
        </is>
      </c>
      <c r="H472" s="14" t="n">
        <v>1</v>
      </c>
      <c r="I472" s="15">
        <f>IF(H472="","",H472/2)</f>
        <v/>
      </c>
      <c r="J472" s="7">
        <f>IF(H472="",0,IF(SUMPRODUCT((Seguimientos!$A$2:$A$1013=A472)*(Seguimientos!$F$2:$F$1013=F472)*(Seguimientos!$B$2:$B$1013&gt;B472)*(Seguimientos!$H$2:$H$1013&lt;&gt;""))=0,1,0))</f>
        <v/>
      </c>
      <c r="K472" s="7">
        <f>A472&amp;"|"&amp;B472</f>
        <v/>
      </c>
      <c r="L472" s="13" t="inlineStr">
        <is>
          <t>Se adjunta documento correspondiente al cronograma de actividades de desarrollo en el cual se evidencia que el aplicativo SNC fue incluido dentro de los desarrollos del área así mismo se muestra el estado de priorización. Adicionalmente se adjunta el reporte general de la entrega del aplicativo, dentro de los ajustes realizados</t>
        </is>
      </c>
    </row>
    <row r="473">
      <c r="A473" s="7" t="inlineStr">
        <is>
          <t>sgc-2024-1</t>
        </is>
      </c>
      <c r="B473" s="7" t="n">
        <v>3</v>
      </c>
      <c r="C473" s="7" t="inlineStr">
        <is>
          <t>SGC</t>
        </is>
      </c>
      <c r="D473" s="7" t="inlineStr">
        <is>
          <t>2024</t>
        </is>
      </c>
      <c r="E473" s="7" t="n">
        <v>1</v>
      </c>
      <c r="F473" s="8" t="n">
        <v>45930</v>
      </c>
      <c r="G473" s="7" t="inlineStr">
        <is>
          <t>JOAN IMAYINNE GALVIS MORENO</t>
        </is>
      </c>
      <c r="H473" s="14" t="n">
        <v>2</v>
      </c>
      <c r="I473" s="15">
        <f>IF(H473="","",H473/2)</f>
        <v/>
      </c>
      <c r="J473" s="7">
        <f>IF(H473="",0,IF(SUMPRODUCT((Seguimientos!$A$2:$A$1013=A473)*(Seguimientos!$F$2:$F$1013=F473)*(Seguimientos!$B$2:$B$1013&gt;B473)*(Seguimientos!$H$2:$H$1013&lt;&gt;""))=0,1,0))</f>
        <v/>
      </c>
      <c r="K473" s="7">
        <f>A473&amp;"|"&amp;B473</f>
        <v/>
      </c>
      <c r="L473" s="13" t="inlineStr">
        <is>
          <t>Se adjunta el cronograma de actividades de desarrollo, donde se evidencia la inclusión del aplicativo SNC dentro de los desarrollos del área y su estado de priorización. Asimismo, se anexa el reporte general de entrega del aplicativo, con los ajustes realizados.</t>
        </is>
      </c>
    </row>
    <row r="474">
      <c r="A474" s="7" t="inlineStr">
        <is>
          <t>sgc-2024-1</t>
        </is>
      </c>
      <c r="B474" s="7" t="n">
        <v>4</v>
      </c>
      <c r="C474" s="7" t="inlineStr">
        <is>
          <t>SGC</t>
        </is>
      </c>
      <c r="D474" s="7" t="inlineStr">
        <is>
          <t>2024</t>
        </is>
      </c>
      <c r="E474" s="7" t="n">
        <v>1</v>
      </c>
      <c r="F474" s="8" t="n">
        <v>46021</v>
      </c>
      <c r="G474" s="7" t="inlineStr">
        <is>
          <t>JOAN IMAYINNE GALVIS MORENO</t>
        </is>
      </c>
      <c r="H474" s="14" t="n">
        <v>2</v>
      </c>
      <c r="I474" s="15">
        <f>IF(H474="","",H474/2)</f>
        <v/>
      </c>
      <c r="J474" s="7">
        <f>IF(H474="",0,IF(SUMPRODUCT((Seguimientos!$A$2:$A$1013=A474)*(Seguimientos!$F$2:$F$1013=F474)*(Seguimientos!$B$2:$B$1013&gt;B474)*(Seguimientos!$H$2:$H$1013&lt;&gt;""))=0,1,0))</f>
        <v/>
      </c>
      <c r="K474" s="7">
        <f>A474&amp;"|"&amp;B474</f>
        <v/>
      </c>
      <c r="L474" s="13" t="inlineStr">
        <is>
          <t>ACTIVIDAD COMPLETADA</t>
        </is>
      </c>
    </row>
    <row r="475">
      <c r="A475" s="7" t="inlineStr">
        <is>
          <t>sgc-2024-1</t>
        </is>
      </c>
      <c r="B475" s="7" t="n">
        <v>5</v>
      </c>
      <c r="C475" s="7" t="inlineStr">
        <is>
          <t>SGC</t>
        </is>
      </c>
      <c r="D475" s="7" t="inlineStr">
        <is>
          <t>2024</t>
        </is>
      </c>
      <c r="E475" s="7" t="n">
        <v>1</v>
      </c>
      <c r="F475" s="8" t="n">
        <v>46142</v>
      </c>
      <c r="G475" s="7" t="inlineStr">
        <is>
          <t>JOAN IMAYINNE GALVIS MORENO</t>
        </is>
      </c>
      <c r="H475" s="14" t="n">
        <v>2</v>
      </c>
      <c r="I475" s="15">
        <f>IF(H475="","",H475/2)</f>
        <v/>
      </c>
      <c r="J475" s="7">
        <f>IF(H475="",0,IF(SUMPRODUCT((Seguimientos!$A$2:$A$1013=A475)*(Seguimientos!$F$2:$F$1013=F475)*(Seguimientos!$B$2:$B$1013&gt;B475)*(Seguimientos!$H$2:$H$1013&lt;&gt;""))=0,1,0))</f>
        <v/>
      </c>
      <c r="K475" s="7">
        <f>A475&amp;"|"&amp;B475</f>
        <v/>
      </c>
      <c r="L475" s="13" t="inlineStr">
        <is>
          <t>ACTIVIDAD COMPLETADA</t>
        </is>
      </c>
    </row>
    <row r="476">
      <c r="A476" s="7" t="inlineStr">
        <is>
          <t>sgc-2024-1</t>
        </is>
      </c>
      <c r="B476" s="7" t="n">
        <v>6</v>
      </c>
      <c r="C476" s="7" t="inlineStr">
        <is>
          <t>SGC</t>
        </is>
      </c>
      <c r="D476" s="7" t="inlineStr">
        <is>
          <t>2024</t>
        </is>
      </c>
      <c r="E476" s="7" t="n">
        <v>1</v>
      </c>
      <c r="F476" s="8" t="n">
        <v>46142</v>
      </c>
      <c r="G476" s="7" t="inlineStr">
        <is>
          <t>JOAN IMAYINNE GALVIS MORENO</t>
        </is>
      </c>
      <c r="H476" s="14" t="n">
        <v>2</v>
      </c>
      <c r="I476" s="15">
        <f>IF(H476="","",H476/2)</f>
        <v/>
      </c>
      <c r="J476" s="7">
        <f>IF(H476="",0,IF(SUMPRODUCT((Seguimientos!$A$2:$A$1013=A476)*(Seguimientos!$F$2:$F$1013=F476)*(Seguimientos!$B$2:$B$1013&gt;B476)*(Seguimientos!$H$2:$H$1013&lt;&gt;""))=0,1,0))</f>
        <v/>
      </c>
      <c r="K476" s="7">
        <f>A476&amp;"|"&amp;B476</f>
        <v/>
      </c>
      <c r="L476" s="13" t="inlineStr">
        <is>
          <t>ACTIVIDAD COMPLETADA</t>
        </is>
      </c>
    </row>
    <row r="477">
      <c r="A477" s="7" t="inlineStr">
        <is>
          <t>sgc-2024-2</t>
        </is>
      </c>
      <c r="B477" s="7" t="n">
        <v>1</v>
      </c>
      <c r="C477" s="7" t="inlineStr">
        <is>
          <t>SGC</t>
        </is>
      </c>
      <c r="D477" s="7" t="inlineStr">
        <is>
          <t>2024</t>
        </is>
      </c>
      <c r="E477" s="7" t="n">
        <v>2</v>
      </c>
      <c r="F477" s="8" t="n">
        <v>45777</v>
      </c>
      <c r="G477" s="7" t="inlineStr">
        <is>
          <t>DANIEL EDUARDO SOTO BERNAL</t>
        </is>
      </c>
      <c r="H477" s="14" t="n">
        <v>0.5</v>
      </c>
      <c r="I477" s="15">
        <f>IF(H477="","",H477/2)</f>
        <v/>
      </c>
      <c r="J477" s="7">
        <f>IF(H477="",0,IF(SUMPRODUCT((Seguimientos!$A$2:$A$1013=A477)*(Seguimientos!$F$2:$F$1013=F477)*(Seguimientos!$B$2:$B$1013&gt;B477)*(Seguimientos!$H$2:$H$1013&lt;&gt;""))=0,1,0))</f>
        <v/>
      </c>
      <c r="K477" s="7">
        <f>A477&amp;"|"&amp;B477</f>
        <v/>
      </c>
      <c r="L477" s="13" t="inlineStr">
        <is>
          <t>ATH Se relaciona el programa de capacitación para la vigencia 2024. Además, de la solicitud de apoyo de eventos de capacitación por parte de la Caja de Compensación Familiar (CAFAM) y la Unidad de Apoyo Académico, con algunos eventos aprobados para el transcurso de la vigencia 2025. SAC Anexa solicitud de necesidad de capacitación.</t>
        </is>
      </c>
    </row>
    <row r="478">
      <c r="A478" s="7" t="inlineStr">
        <is>
          <t>sgc-2024-2</t>
        </is>
      </c>
      <c r="B478" s="7" t="n">
        <v>2</v>
      </c>
      <c r="C478" s="7" t="inlineStr">
        <is>
          <t>SGC</t>
        </is>
      </c>
      <c r="D478" s="7" t="inlineStr">
        <is>
          <t>2024</t>
        </is>
      </c>
      <c r="E478" s="7" t="n">
        <v>2</v>
      </c>
      <c r="F478" s="8" t="n">
        <v>45838</v>
      </c>
      <c r="G478" s="7" t="inlineStr">
        <is>
          <t>DANIEL EDUARDO SOTO BERNAL</t>
        </is>
      </c>
      <c r="H478" s="14" t="n">
        <v>0.5</v>
      </c>
      <c r="I478" s="15">
        <f>IF(H478="","",H478/2)</f>
        <v/>
      </c>
      <c r="J478" s="7">
        <f>IF(H478="",0,IF(SUMPRODUCT((Seguimientos!$A$2:$A$1013=A478)*(Seguimientos!$F$2:$F$1013=F478)*(Seguimientos!$B$2:$B$1013&gt;B478)*(Seguimientos!$H$2:$H$1013&lt;&gt;""))=0,1,0))</f>
        <v/>
      </c>
      <c r="K478" s="7">
        <f>A478&amp;"|"&amp;B478</f>
        <v/>
      </c>
      <c r="L478" s="13" t="inlineStr">
        <is>
          <t>EN TÉRMINOS DE EJECUCIÓN</t>
        </is>
      </c>
    </row>
    <row r="479">
      <c r="A479" s="7" t="inlineStr">
        <is>
          <t>sgc-2024-2</t>
        </is>
      </c>
      <c r="B479" s="7" t="n">
        <v>3</v>
      </c>
      <c r="C479" s="7" t="inlineStr">
        <is>
          <t>SGC</t>
        </is>
      </c>
      <c r="D479" s="7" t="inlineStr">
        <is>
          <t>2024</t>
        </is>
      </c>
      <c r="E479" s="7" t="n">
        <v>2</v>
      </c>
      <c r="F479" s="8" t="n">
        <v>45930</v>
      </c>
      <c r="G479" s="7" t="inlineStr">
        <is>
          <t>JOAN IMAYINNE GALVIS MORENO</t>
        </is>
      </c>
      <c r="H479" s="14" t="n">
        <v>2</v>
      </c>
      <c r="I479" s="15">
        <f>IF(H479="","",H479/2)</f>
        <v/>
      </c>
      <c r="J479" s="7">
        <f>IF(H479="",0,IF(SUMPRODUCT((Seguimientos!$A$2:$A$1013=A479)*(Seguimientos!$F$2:$F$1013=F479)*(Seguimientos!$B$2:$B$1013&gt;B479)*(Seguimientos!$H$2:$H$1013&lt;&gt;""))=0,1,0))</f>
        <v/>
      </c>
      <c r="K479" s="7">
        <f>A479&amp;"|"&amp;B479</f>
        <v/>
      </c>
      <c r="L479" s="13" t="inlineStr">
        <is>
          <t>De acuerdo a lo suministrado por el area se realizó la solicitud de necesidades de capacitación a la Dirección de Talento Humano y se iniciaron las capacitaciones sobre la importancia del proceso de Servicio de Atención al Ciudadano, enfocadas en el cumplimiento de los tiempos de respuesta establecidos por la ley. Ajuntando listas de asistencia</t>
        </is>
      </c>
    </row>
    <row r="480">
      <c r="A480" s="7" t="inlineStr">
        <is>
          <t>sgc-2024-2</t>
        </is>
      </c>
      <c r="B480" s="7" t="n">
        <v>4</v>
      </c>
      <c r="C480" s="7" t="inlineStr">
        <is>
          <t>SGC</t>
        </is>
      </c>
      <c r="D480" s="7" t="inlineStr">
        <is>
          <t>2024</t>
        </is>
      </c>
      <c r="E480" s="7" t="n">
        <v>2</v>
      </c>
      <c r="F480" s="8" t="n">
        <v>46021</v>
      </c>
      <c r="G480" s="7" t="inlineStr">
        <is>
          <t>JOAN IMAYINNE GALVIS MORENO</t>
        </is>
      </c>
      <c r="H480" s="14" t="n">
        <v>2</v>
      </c>
      <c r="I480" s="15">
        <f>IF(H480="","",H480/2)</f>
        <v/>
      </c>
      <c r="J480" s="7">
        <f>IF(H480="",0,IF(SUMPRODUCT((Seguimientos!$A$2:$A$1013=A480)*(Seguimientos!$F$2:$F$1013=F480)*(Seguimientos!$B$2:$B$1013&gt;B480)*(Seguimientos!$H$2:$H$1013&lt;&gt;""))=0,1,0))</f>
        <v/>
      </c>
      <c r="K480" s="7">
        <f>A480&amp;"|"&amp;B480</f>
        <v/>
      </c>
      <c r="L480" s="13" t="inlineStr">
        <is>
          <t>ACTIVIDAD COMPLETADA</t>
        </is>
      </c>
    </row>
    <row r="481">
      <c r="A481" s="7" t="inlineStr">
        <is>
          <t>sgc-2024-2</t>
        </is>
      </c>
      <c r="B481" s="7" t="n">
        <v>5</v>
      </c>
      <c r="C481" s="7" t="inlineStr">
        <is>
          <t>SGC</t>
        </is>
      </c>
      <c r="D481" s="7" t="inlineStr">
        <is>
          <t>2024</t>
        </is>
      </c>
      <c r="E481" s="7" t="n">
        <v>2</v>
      </c>
      <c r="F481" s="8" t="n">
        <v>46142</v>
      </c>
      <c r="G481" s="7" t="inlineStr">
        <is>
          <t>JOAN IMAYINNE GALVIS MORENO</t>
        </is>
      </c>
      <c r="H481" s="14" t="n">
        <v>2</v>
      </c>
      <c r="I481" s="15">
        <f>IF(H481="","",H481/2)</f>
        <v/>
      </c>
      <c r="J481" s="7">
        <f>IF(H481="",0,IF(SUMPRODUCT((Seguimientos!$A$2:$A$1013=A481)*(Seguimientos!$F$2:$F$1013=F481)*(Seguimientos!$B$2:$B$1013&gt;B481)*(Seguimientos!$H$2:$H$1013&lt;&gt;""))=0,1,0))</f>
        <v/>
      </c>
      <c r="K481" s="7">
        <f>A481&amp;"|"&amp;B481</f>
        <v/>
      </c>
      <c r="L481" s="13" t="inlineStr">
        <is>
          <t>ACTIVIDAD COMPLETADA</t>
        </is>
      </c>
    </row>
    <row r="482">
      <c r="A482" s="7" t="inlineStr">
        <is>
          <t>sgc-2024-2</t>
        </is>
      </c>
      <c r="B482" s="7" t="n">
        <v>6</v>
      </c>
      <c r="C482" s="7" t="inlineStr">
        <is>
          <t>SGC</t>
        </is>
      </c>
      <c r="D482" s="7" t="inlineStr">
        <is>
          <t>2024</t>
        </is>
      </c>
      <c r="E482" s="7" t="n">
        <v>2</v>
      </c>
      <c r="F482" s="8" t="n">
        <v>46142</v>
      </c>
      <c r="G482" s="7" t="inlineStr">
        <is>
          <t>JOAN IMAYINNE GALVIS MORENO</t>
        </is>
      </c>
      <c r="H482" s="14" t="n">
        <v>2</v>
      </c>
      <c r="I482" s="15">
        <f>IF(H482="","",H482/2)</f>
        <v/>
      </c>
      <c r="J482" s="7">
        <f>IF(H482="",0,IF(SUMPRODUCT((Seguimientos!$A$2:$A$1013=A482)*(Seguimientos!$F$2:$F$1013=F482)*(Seguimientos!$B$2:$B$1013&gt;B482)*(Seguimientos!$H$2:$H$1013&lt;&gt;""))=0,1,0))</f>
        <v/>
      </c>
      <c r="K482" s="7">
        <f>A482&amp;"|"&amp;B482</f>
        <v/>
      </c>
      <c r="L482" s="13" t="inlineStr">
        <is>
          <t>ACTIVIDAD COMPLETADA</t>
        </is>
      </c>
    </row>
    <row r="483">
      <c r="A483" s="7" t="inlineStr">
        <is>
          <t>sgc-2024-3</t>
        </is>
      </c>
      <c r="B483" s="7" t="n">
        <v>1</v>
      </c>
      <c r="C483" s="7" t="inlineStr">
        <is>
          <t>SGC</t>
        </is>
      </c>
      <c r="D483" s="7" t="inlineStr">
        <is>
          <t>2024</t>
        </is>
      </c>
      <c r="E483" s="7" t="n">
        <v>3</v>
      </c>
      <c r="F483" s="8" t="n">
        <v>45777</v>
      </c>
      <c r="G483" s="7" t="inlineStr">
        <is>
          <t>DANIEL EDUARDO SOTO BERNAL</t>
        </is>
      </c>
      <c r="H483" s="14" t="n">
        <v>0</v>
      </c>
      <c r="I483" s="15">
        <f>IF(H483="","",H483/2)</f>
        <v/>
      </c>
      <c r="J483" s="7">
        <f>IF(H483="",0,IF(SUMPRODUCT((Seguimientos!$A$2:$A$1013=A483)*(Seguimientos!$F$2:$F$1013=F483)*(Seguimientos!$B$2:$B$1013&gt;B483)*(Seguimientos!$H$2:$H$1013&lt;&gt;""))=0,1,0))</f>
        <v/>
      </c>
      <c r="K483" s="7">
        <f>A483&amp;"|"&amp;B483</f>
        <v/>
      </c>
      <c r="L483" s="13" t="inlineStr">
        <is>
          <t>EN TÉRMINOS DE EJECUCIÓN</t>
        </is>
      </c>
    </row>
    <row r="484">
      <c r="A484" s="7" t="inlineStr">
        <is>
          <t>sgc-2024-3</t>
        </is>
      </c>
      <c r="B484" s="7" t="n">
        <v>2</v>
      </c>
      <c r="C484" s="7" t="inlineStr">
        <is>
          <t>SGC</t>
        </is>
      </c>
      <c r="D484" s="7" t="inlineStr">
        <is>
          <t>2024</t>
        </is>
      </c>
      <c r="E484" s="7" t="n">
        <v>3</v>
      </c>
      <c r="F484" s="8" t="n">
        <v>45838</v>
      </c>
      <c r="G484" s="7" t="inlineStr">
        <is>
          <t>DANIEL EDUARDO SOTO BERNAL</t>
        </is>
      </c>
      <c r="H484" s="14" t="n">
        <v>1</v>
      </c>
      <c r="I484" s="15">
        <f>IF(H484="","",H484/2)</f>
        <v/>
      </c>
      <c r="J484" s="7">
        <f>IF(H484="",0,IF(SUMPRODUCT((Seguimientos!$A$2:$A$1013=A484)*(Seguimientos!$F$2:$F$1013=F484)*(Seguimientos!$B$2:$B$1013&gt;B484)*(Seguimientos!$H$2:$H$1013&lt;&gt;""))=0,1,0))</f>
        <v/>
      </c>
      <c r="K484" s="7">
        <f>A484&amp;"|"&amp;B484</f>
        <v/>
      </c>
      <c r="L484" s="13" t="inlineStr">
        <is>
          <t>Se adjunta como evidencia: -Estudio política de proveedores -comparación con otras entidades del manejo de proveedores -Formato ABSr145 Reevaluación de proveedores se modifica en su calificación. -Formato ABSr146 Evaluación de proveedores se modifica en su calificación. Se espera reformualcion de actividad por redaccion por parte del Sitema de Gestion de Calidad.</t>
        </is>
      </c>
    </row>
    <row r="485">
      <c r="A485" s="7" t="inlineStr">
        <is>
          <t>sgc-2024-3</t>
        </is>
      </c>
      <c r="B485" s="7" t="n">
        <v>3</v>
      </c>
      <c r="C485" s="7" t="inlineStr">
        <is>
          <t>SGC</t>
        </is>
      </c>
      <c r="D485" s="7" t="inlineStr">
        <is>
          <t>2024</t>
        </is>
      </c>
      <c r="E485" s="7" t="n">
        <v>3</v>
      </c>
      <c r="F485" s="8" t="n">
        <v>45930</v>
      </c>
      <c r="G485" s="7" t="inlineStr">
        <is>
          <t>JOAN IMAYINNE GALVIS MORENO</t>
        </is>
      </c>
      <c r="H485" s="14" t="n">
        <v>1</v>
      </c>
      <c r="I485" s="15">
        <f>IF(H485="","",H485/2)</f>
        <v/>
      </c>
      <c r="J485" s="7">
        <f>IF(H485="",0,IF(SUMPRODUCT((Seguimientos!$A$2:$A$1013=A485)*(Seguimientos!$F$2:$F$1013=F485)*(Seguimientos!$B$2:$B$1013&gt;B485)*(Seguimientos!$H$2:$H$1013&lt;&gt;""))=0,1,0))</f>
        <v/>
      </c>
      <c r="K485" s="7">
        <f>A485&amp;"|"&amp;B485</f>
        <v/>
      </c>
      <c r="L485" s="13" t="inlineStr">
        <is>
          <t>En seguimiento a la etapa de ejecución y cierre de los procesos contractuales, la Dirección de Bienes y Servicios realizó la revisión y ajuste de los criterios de evaluación y reevaluación de proveedores, con el fin de fortalecer la gestión contractual y optimizar la relación con los contratistas. Los nuevos criterios buscan incentivar el cumplimiento eficiente de las obligaciones, mejorar los estándares de calidad, desempeño y oportunidad en la entrega de bienes y servicios, y garantizar que estos cumplan con las condiciones institucionales requeridas. Asimismo, se formuló una propuesta de actualización de requisitos habilitantes para los procesos de contratación, la cual se encuentra en validación por la Dirección Jurídica.</t>
        </is>
      </c>
    </row>
    <row r="486">
      <c r="A486" s="7" t="inlineStr">
        <is>
          <t>sgc-2024-3</t>
        </is>
      </c>
      <c r="B486" s="7" t="n">
        <v>4</v>
      </c>
      <c r="C486" s="7" t="inlineStr">
        <is>
          <t>SGC</t>
        </is>
      </c>
      <c r="D486" s="7" t="inlineStr">
        <is>
          <t>2024</t>
        </is>
      </c>
      <c r="E486" s="7" t="n">
        <v>3</v>
      </c>
      <c r="F486" s="8" t="n">
        <v>46021</v>
      </c>
      <c r="G486" s="7" t="inlineStr">
        <is>
          <t>JOAN IMAYINNE GALVIS MORENO</t>
        </is>
      </c>
      <c r="H486" s="14" t="n">
        <v>1</v>
      </c>
      <c r="I486" s="15">
        <f>IF(H486="","",H486/2)</f>
        <v/>
      </c>
      <c r="J486" s="7">
        <f>IF(H486="",0,IF(SUMPRODUCT((Seguimientos!$A$2:$A$1013=A486)*(Seguimientos!$F$2:$F$1013=F486)*(Seguimientos!$B$2:$B$1013&gt;B486)*(Seguimientos!$H$2:$H$1013&lt;&gt;""))=0,1,0))</f>
        <v/>
      </c>
      <c r="K486" s="7">
        <f>A486&amp;"|"&amp;B486</f>
        <v/>
      </c>
      <c r="L486" s="13" t="inlineStr"/>
    </row>
    <row r="487">
      <c r="A487" s="7" t="inlineStr">
        <is>
          <t>sgc-2024-3</t>
        </is>
      </c>
      <c r="B487" s="7" t="n">
        <v>5</v>
      </c>
      <c r="C487" s="7" t="inlineStr">
        <is>
          <t>SGC</t>
        </is>
      </c>
      <c r="D487" s="7" t="inlineStr">
        <is>
          <t>2024</t>
        </is>
      </c>
      <c r="E487" s="7" t="n">
        <v>3</v>
      </c>
      <c r="F487" s="8" t="n">
        <v>46142</v>
      </c>
      <c r="G487" s="7" t="inlineStr">
        <is>
          <t>JOAN IMAYINNE GALVIS MORENO</t>
        </is>
      </c>
      <c r="H487" s="14" t="n">
        <v>2</v>
      </c>
      <c r="I487" s="15">
        <f>IF(H487="","",H487/2)</f>
        <v/>
      </c>
      <c r="J487" s="7">
        <f>IF(H487="",0,IF(SUMPRODUCT((Seguimientos!$A$2:$A$1013=A487)*(Seguimientos!$F$2:$F$1013=F487)*(Seguimientos!$B$2:$B$1013&gt;B487)*(Seguimientos!$H$2:$H$1013&lt;&gt;""))=0,1,0))</f>
        <v/>
      </c>
      <c r="K487" s="7">
        <f>A487&amp;"|"&amp;B487</f>
        <v/>
      </c>
      <c r="L487" s="13" t="inlineStr">
        <is>
          <t>Se realizaron ajustes en cuanto a la escala de calificaion, la redefinicion de la ponderacion de los criterios de evaluacion y el fortalecimiento del marco juridico frente a posibles incumplimientos contractuales, los cuales fueron incorporados formalmente al Procedimiento ABSP18.</t>
        </is>
      </c>
    </row>
    <row r="488">
      <c r="A488" s="7" t="inlineStr">
        <is>
          <t>sgc-2024-3</t>
        </is>
      </c>
      <c r="B488" s="7" t="n">
        <v>6</v>
      </c>
      <c r="C488" s="7" t="inlineStr">
        <is>
          <t>SGC</t>
        </is>
      </c>
      <c r="D488" s="7" t="inlineStr">
        <is>
          <t>2024</t>
        </is>
      </c>
      <c r="E488" s="7" t="n">
        <v>3</v>
      </c>
      <c r="F488" s="8" t="n">
        <v>46142</v>
      </c>
      <c r="G488" s="7" t="inlineStr">
        <is>
          <t>JOAN IMAYINNE GALVIS MORENO</t>
        </is>
      </c>
      <c r="H488" s="14" t="n">
        <v>2</v>
      </c>
      <c r="I488" s="15">
        <f>IF(H488="","",H488/2)</f>
        <v/>
      </c>
      <c r="J488" s="7">
        <f>IF(H488="",0,IF(SUMPRODUCT((Seguimientos!$A$2:$A$1013=A488)*(Seguimientos!$F$2:$F$1013=F488)*(Seguimientos!$B$2:$B$1013&gt;B488)*(Seguimientos!$H$2:$H$1013&lt;&gt;""))=0,1,0))</f>
        <v/>
      </c>
      <c r="K488" s="7">
        <f>A488&amp;"|"&amp;B488</f>
        <v/>
      </c>
      <c r="L488" s="13" t="inlineStr">
        <is>
          <t>Se realizaron ajustes en cuanto a la escala de calificaion, la redefinicion de la ponderacion de los criterios de evaluacion y el fortalecimiento del marco juridico frente a posibles incumplimientos contractuales, los cuales fueron incorporados formalmente al Procedimiento ABSP18.</t>
        </is>
      </c>
    </row>
    <row r="489">
      <c r="A489" s="7" t="inlineStr">
        <is>
          <t>sgc-2024-4</t>
        </is>
      </c>
      <c r="B489" s="7" t="n">
        <v>1</v>
      </c>
      <c r="C489" s="7" t="inlineStr">
        <is>
          <t>SGC</t>
        </is>
      </c>
      <c r="D489" s="7" t="inlineStr">
        <is>
          <t>2024</t>
        </is>
      </c>
      <c r="E489" s="7" t="n">
        <v>4</v>
      </c>
      <c r="F489" s="8" t="n">
        <v>45777</v>
      </c>
      <c r="G489" s="7" t="inlineStr">
        <is>
          <t>DANIEL EDUARDO SOTO BERNAL</t>
        </is>
      </c>
      <c r="H489" s="14" t="n">
        <v>0</v>
      </c>
      <c r="I489" s="15">
        <f>IF(H489="","",H489/2)</f>
        <v/>
      </c>
      <c r="J489" s="7">
        <f>IF(H489="",0,IF(SUMPRODUCT((Seguimientos!$A$2:$A$1013=A489)*(Seguimientos!$F$2:$F$1013=F489)*(Seguimientos!$B$2:$B$1013&gt;B489)*(Seguimientos!$H$2:$H$1013&lt;&gt;""))=0,1,0))</f>
        <v/>
      </c>
      <c r="K489" s="7">
        <f>A489&amp;"|"&amp;B489</f>
        <v/>
      </c>
      <c r="L489" s="13" t="inlineStr">
        <is>
          <t>EN TÉRMINOS DE EJECUCIÓN</t>
        </is>
      </c>
    </row>
    <row r="490">
      <c r="A490" s="7" t="inlineStr">
        <is>
          <t>sgc-2024-4</t>
        </is>
      </c>
      <c r="B490" s="7" t="n">
        <v>2</v>
      </c>
      <c r="C490" s="7" t="inlineStr">
        <is>
          <t>SGC</t>
        </is>
      </c>
      <c r="D490" s="7" t="inlineStr">
        <is>
          <t>2024</t>
        </is>
      </c>
      <c r="E490" s="7" t="n">
        <v>4</v>
      </c>
      <c r="F490" s="8" t="n">
        <v>45838</v>
      </c>
      <c r="G490" s="7" t="inlineStr">
        <is>
          <t>DANIEL EDUARDO SOTO BERNAL</t>
        </is>
      </c>
      <c r="H490" s="14" t="n">
        <v>1</v>
      </c>
      <c r="I490" s="15">
        <f>IF(H490="","",H490/2)</f>
        <v/>
      </c>
      <c r="J490" s="7">
        <f>IF(H490="",0,IF(SUMPRODUCT((Seguimientos!$A$2:$A$1013=A490)*(Seguimientos!$F$2:$F$1013=F490)*(Seguimientos!$B$2:$B$1013&gt;B490)*(Seguimientos!$H$2:$H$1013&lt;&gt;""))=0,1,0))</f>
        <v/>
      </c>
      <c r="K490" s="7">
        <f>A490&amp;"|"&amp;B490</f>
        <v/>
      </c>
      <c r="L490" s="13" t="inlineStr">
        <is>
          <t>Actualmente la Dirección de Sistemas y Tecnología trabaja para la implementación y creación del área de Seguridad Informática, para lo cual se ha asignado a un ingeniero para liderar el proceso, dentro de los avances se resalta la creación y formalización de un procedimiento ASIP36 – GESTION DE VULNERABILIDADES y un instructivo ASII020-ENFOQUE PRACTICO PARA LA GESTION DE VULNERABILIDADES los cuales se encuentran publicados en el Modelo de Operación Digital. Se adelantó lo proyección para la consolidación del área, en lo que se procedió al diligenciamiento de la EPIF060 - Solicitud necesidades presupuesto de funcionamiento y el EPIr058 – análisis presupuestal del banco universitario de programas y proyectos de inversión de la UCuncinamarca, para este proceso se estableció comunicación con 3 posibles proveedores por alrededor de 2 semanas con el fin de consultar y cotizar los servicios de SOC con la implementación de un SIEM y la automatización de tareas de un SOAR.</t>
        </is>
      </c>
    </row>
    <row r="491">
      <c r="A491" s="7" t="inlineStr">
        <is>
          <t>sgc-2024-4</t>
        </is>
      </c>
      <c r="B491" s="7" t="n">
        <v>3</v>
      </c>
      <c r="C491" s="7" t="inlineStr">
        <is>
          <t>SGC</t>
        </is>
      </c>
      <c r="D491" s="7" t="inlineStr">
        <is>
          <t>2024</t>
        </is>
      </c>
      <c r="E491" s="7" t="n">
        <v>4</v>
      </c>
      <c r="F491" s="8" t="n">
        <v>45930</v>
      </c>
      <c r="G491" s="7" t="inlineStr">
        <is>
          <t>JOAN IMAYINNE GALVIS MORENO</t>
        </is>
      </c>
      <c r="H491" s="14" t="n">
        <v>1.5</v>
      </c>
      <c r="I491" s="15">
        <f>IF(H491="","",H491/2)</f>
        <v/>
      </c>
      <c r="J491" s="7">
        <f>IF(H491="",0,IF(SUMPRODUCT((Seguimientos!$A$2:$A$1013=A491)*(Seguimientos!$F$2:$F$1013=F491)*(Seguimientos!$B$2:$B$1013&gt;B491)*(Seguimientos!$H$2:$H$1013&lt;&gt;""))=0,1,0))</f>
        <v/>
      </c>
      <c r="K491" s="7">
        <f>A491&amp;"|"&amp;B491</f>
        <v/>
      </c>
      <c r="L491" s="13" t="inlineStr">
        <is>
          <t>De acuerdp a lo remitido por el proceso se observa que se fortalece el proceso de seguridad informática con la creación del procedimiento ASIPXX_V1 - Controles Criptográficos y el manual ASIMXX_V1 - Uso de la Criptografía, los cuales serán formalizados en el SAD de octubre de 2025. Se adjuntan los borradores de los documentos. Quedando a la espera de los documentos formalizados</t>
        </is>
      </c>
    </row>
    <row r="492">
      <c r="A492" s="7" t="inlineStr">
        <is>
          <t>sgc-2024-4</t>
        </is>
      </c>
      <c r="B492" s="7" t="n">
        <v>4</v>
      </c>
      <c r="C492" s="7" t="inlineStr">
        <is>
          <t>SGC</t>
        </is>
      </c>
      <c r="D492" s="7" t="inlineStr">
        <is>
          <t>2024</t>
        </is>
      </c>
      <c r="E492" s="7" t="n">
        <v>4</v>
      </c>
      <c r="F492" s="8" t="n">
        <v>46021</v>
      </c>
      <c r="G492" s="7" t="inlineStr">
        <is>
          <t>JOAN IMAYINNE GALVIS MORENO</t>
        </is>
      </c>
      <c r="H492" s="14" t="n">
        <v>2</v>
      </c>
      <c r="I492" s="15">
        <f>IF(H492="","",H492/2)</f>
        <v/>
      </c>
      <c r="J492" s="7">
        <f>IF(H492="",0,IF(SUMPRODUCT((Seguimientos!$A$2:$A$1013=A492)*(Seguimientos!$F$2:$F$1013=F492)*(Seguimientos!$B$2:$B$1013&gt;B492)*(Seguimientos!$H$2:$H$1013&lt;&gt;""))=0,1,0))</f>
        <v/>
      </c>
      <c r="K492" s="7">
        <f>A492&amp;"|"&amp;B492</f>
        <v/>
      </c>
      <c r="L492" s="13" t="inlineStr">
        <is>
          <t>De acuerdp a lo remitido por el proceso se observa que se fortalece el proceso de seguridad informática con la creación del procedimiento ASIP37_V1 - Controles Criptográficos y el manual ASIM23_V1 - Uso de la Criptografía, los cuales estan debidamente formalizados , ademas de esto la Direccion de Sistemas y tecnologia ofrece capacitaciones sobre el cifrado de los archivos, con el fin de promover el conocimiento la apropiacion y la correcta implementacion de estos.</t>
        </is>
      </c>
    </row>
    <row r="493">
      <c r="A493" s="7" t="inlineStr">
        <is>
          <t>sgc-2024-4</t>
        </is>
      </c>
      <c r="B493" s="7" t="n">
        <v>5</v>
      </c>
      <c r="C493" s="7" t="inlineStr">
        <is>
          <t>SGC</t>
        </is>
      </c>
      <c r="D493" s="7" t="inlineStr">
        <is>
          <t>2024</t>
        </is>
      </c>
      <c r="E493" s="7" t="n">
        <v>4</v>
      </c>
      <c r="F493" s="8" t="n">
        <v>46142</v>
      </c>
      <c r="G493" s="7" t="inlineStr">
        <is>
          <t>JOAN IMAYINNE GALVIS MORENO</t>
        </is>
      </c>
      <c r="H493" s="14" t="n">
        <v>2</v>
      </c>
      <c r="I493" s="15">
        <f>IF(H493="","",H493/2)</f>
        <v/>
      </c>
      <c r="J493" s="7">
        <f>IF(H493="",0,IF(SUMPRODUCT((Seguimientos!$A$2:$A$1013=A493)*(Seguimientos!$F$2:$F$1013=F493)*(Seguimientos!$B$2:$B$1013&gt;B493)*(Seguimientos!$H$2:$H$1013&lt;&gt;""))=0,1,0))</f>
        <v/>
      </c>
      <c r="K493" s="7">
        <f>A493&amp;"|"&amp;B493</f>
        <v/>
      </c>
      <c r="L493" s="13" t="inlineStr">
        <is>
          <t>ACTIVIDAD COMPLETADA</t>
        </is>
      </c>
    </row>
    <row r="494">
      <c r="A494" s="7" t="inlineStr">
        <is>
          <t>sgc-2024-4</t>
        </is>
      </c>
      <c r="B494" s="7" t="n">
        <v>6</v>
      </c>
      <c r="C494" s="7" t="inlineStr">
        <is>
          <t>SGC</t>
        </is>
      </c>
      <c r="D494" s="7" t="inlineStr">
        <is>
          <t>2024</t>
        </is>
      </c>
      <c r="E494" s="7" t="n">
        <v>4</v>
      </c>
      <c r="F494" s="8" t="n">
        <v>46142</v>
      </c>
      <c r="G494" s="7" t="inlineStr">
        <is>
          <t>JOAN IMAYINNE GALVIS MORENO</t>
        </is>
      </c>
      <c r="H494" s="14" t="n">
        <v>2</v>
      </c>
      <c r="I494" s="15">
        <f>IF(H494="","",H494/2)</f>
        <v/>
      </c>
      <c r="J494" s="7">
        <f>IF(H494="",0,IF(SUMPRODUCT((Seguimientos!$A$2:$A$1013=A494)*(Seguimientos!$F$2:$F$1013=F494)*(Seguimientos!$B$2:$B$1013&gt;B494)*(Seguimientos!$H$2:$H$1013&lt;&gt;""))=0,1,0))</f>
        <v/>
      </c>
      <c r="K494" s="7">
        <f>A494&amp;"|"&amp;B494</f>
        <v/>
      </c>
      <c r="L494" s="13" t="inlineStr">
        <is>
          <t>ACTIVIDAD COMPLETADA</t>
        </is>
      </c>
    </row>
    <row r="495">
      <c r="A495" s="7" t="inlineStr">
        <is>
          <t>sgc-2024-5</t>
        </is>
      </c>
      <c r="B495" s="7" t="n">
        <v>1</v>
      </c>
      <c r="C495" s="7" t="inlineStr">
        <is>
          <t>SGC</t>
        </is>
      </c>
      <c r="D495" s="7" t="inlineStr">
        <is>
          <t>2024</t>
        </is>
      </c>
      <c r="E495" s="7" t="n">
        <v>5</v>
      </c>
      <c r="F495" s="8" t="n">
        <v>45777</v>
      </c>
      <c r="G495" s="7" t="inlineStr">
        <is>
          <t>DANIEL EDUARDO SOTO BERNAL</t>
        </is>
      </c>
      <c r="H495" s="14" t="n">
        <v>0</v>
      </c>
      <c r="I495" s="15">
        <f>IF(H495="","",H495/2)</f>
        <v/>
      </c>
      <c r="J495" s="7">
        <f>IF(H495="",0,IF(SUMPRODUCT((Seguimientos!$A$2:$A$1013=A495)*(Seguimientos!$F$2:$F$1013=F495)*(Seguimientos!$B$2:$B$1013&gt;B495)*(Seguimientos!$H$2:$H$1013&lt;&gt;""))=0,1,0))</f>
        <v/>
      </c>
      <c r="K495" s="7">
        <f>A495&amp;"|"&amp;B495</f>
        <v/>
      </c>
      <c r="L495" s="13" t="inlineStr">
        <is>
          <t>EN TÉRMINOS DE EJECUCIÓN</t>
        </is>
      </c>
    </row>
    <row r="496">
      <c r="A496" s="7" t="inlineStr">
        <is>
          <t>sgc-2024-5</t>
        </is>
      </c>
      <c r="B496" s="7" t="n">
        <v>2</v>
      </c>
      <c r="C496" s="7" t="inlineStr">
        <is>
          <t>SGC</t>
        </is>
      </c>
      <c r="D496" s="7" t="inlineStr">
        <is>
          <t>2024</t>
        </is>
      </c>
      <c r="E496" s="7" t="n">
        <v>5</v>
      </c>
      <c r="F496" s="8" t="n">
        <v>45838</v>
      </c>
      <c r="G496" s="7" t="inlineStr">
        <is>
          <t>DANIEL EDUARDO SOTO BERNAL</t>
        </is>
      </c>
      <c r="H496" s="14" t="n">
        <v>1</v>
      </c>
      <c r="I496" s="15">
        <f>IF(H496="","",H496/2)</f>
        <v/>
      </c>
      <c r="J496" s="7">
        <f>IF(H496="",0,IF(SUMPRODUCT((Seguimientos!$A$2:$A$1013=A496)*(Seguimientos!$F$2:$F$1013=F496)*(Seguimientos!$B$2:$B$1013&gt;B496)*(Seguimientos!$H$2:$H$1013&lt;&gt;""))=0,1,0))</f>
        <v/>
      </c>
      <c r="K496" s="7">
        <f>A496&amp;"|"&amp;B496</f>
        <v/>
      </c>
      <c r="L496" s="13" t="inlineStr">
        <is>
          <t>Actualmente la Dirección de Sistemas y Tecnología trabaja para la implementación y creación del área de Análisis de Datos, para lo cual se ha asignado a un ingeniero para liderar el proceso, dentro de los avances se resalta la creación y formalización de un procedimiento ASIP35 – ANALISIS DE DATOS, ASIM019 - MANUAL GOBERNANZA DE DATOS, ASIM020-MANUAL ANALISIS DE DATOS, ASII019-CREACION DE FLUJOS AUTOMATICOS DE ACTUALIZACION DE FUENTE DE DATOS, ASIF076-REGISTRO DE FLUJOS, ASIF077-ENTREGA DE DASHBOARD los cuales se encuentran publicados en el Modelo de Operación Digital. Se adelantó lo proyección para la consolidación del área, en lo que se procedió al diligenciamiento de la EPIF060 - Solicitud necesidades presupuesto de funcionamiento y el EPIr058 – análisis presupuestal del banco universitario de programas y proyectos de inversión de la UCuncinamarca.</t>
        </is>
      </c>
    </row>
    <row r="497">
      <c r="A497" s="7" t="inlineStr">
        <is>
          <t>sgc-2024-5</t>
        </is>
      </c>
      <c r="B497" s="7" t="n">
        <v>3</v>
      </c>
      <c r="C497" s="7" t="inlineStr">
        <is>
          <t>SGC</t>
        </is>
      </c>
      <c r="D497" s="7" t="inlineStr">
        <is>
          <t>2024</t>
        </is>
      </c>
      <c r="E497" s="7" t="n">
        <v>5</v>
      </c>
      <c r="F497" s="8" t="n">
        <v>45930</v>
      </c>
      <c r="G497" s="7" t="inlineStr">
        <is>
          <t>JOAN IMAYINNE GALVIS MORENO</t>
        </is>
      </c>
      <c r="H497" s="14" t="n">
        <v>1.5</v>
      </c>
      <c r="I497" s="15">
        <f>IF(H497="","",H497/2)</f>
        <v/>
      </c>
      <c r="J497" s="7">
        <f>IF(H497="",0,IF(SUMPRODUCT((Seguimientos!$A$2:$A$1013=A497)*(Seguimientos!$F$2:$F$1013=F497)*(Seguimientos!$B$2:$B$1013&gt;B497)*(Seguimientos!$H$2:$H$1013&lt;&gt;""))=0,1,0))</f>
        <v/>
      </c>
      <c r="K497" s="7">
        <f>A497&amp;"|"&amp;B497</f>
        <v/>
      </c>
      <c r="L497" s="13" t="inlineStr">
        <is>
          <t>La Dirección de Sistemas y Tecnología avanza en el fortalecimiento de los procesos de analítica de datos con la actualización del ASIP35_V2 - Análisis de Datos y la creación del formato ASIF084 - Registro de Pruebas de Navegabilidad e Identificación de Fuentes de Datos para Dashboards, articulado con el proceso de Gobierno de Datos. Además, se trabaja en la actualización de dashboards, el cargue y configuración de soluciones BI en el módulo de Analíticas (CMA) y la incorporación de nuevos flujos ETL en el servidor de centralización de datos.</t>
        </is>
      </c>
    </row>
    <row r="498">
      <c r="A498" s="7" t="inlineStr">
        <is>
          <t>sgc-2024-5</t>
        </is>
      </c>
      <c r="B498" s="7" t="n">
        <v>4</v>
      </c>
      <c r="C498" s="7" t="inlineStr">
        <is>
          <t>SGC</t>
        </is>
      </c>
      <c r="D498" s="7" t="inlineStr">
        <is>
          <t>2024</t>
        </is>
      </c>
      <c r="E498" s="7" t="n">
        <v>5</v>
      </c>
      <c r="F498" s="8" t="n">
        <v>46021</v>
      </c>
      <c r="G498" s="7" t="inlineStr">
        <is>
          <t>JOAN IMAYINNE GALVIS MORENO</t>
        </is>
      </c>
      <c r="H498" s="14" t="n">
        <v>1.5</v>
      </c>
      <c r="I498" s="15">
        <f>IF(H498="","",H498/2)</f>
        <v/>
      </c>
      <c r="J498" s="7">
        <f>IF(H498="",0,IF(SUMPRODUCT((Seguimientos!$A$2:$A$1013=A498)*(Seguimientos!$F$2:$F$1013=F498)*(Seguimientos!$B$2:$B$1013&gt;B498)*(Seguimientos!$H$2:$H$1013&lt;&gt;""))=0,1,0))</f>
        <v/>
      </c>
      <c r="K498" s="7">
        <f>A498&amp;"|"&amp;B498</f>
        <v/>
      </c>
      <c r="L498" s="13" t="inlineStr"/>
    </row>
    <row r="499">
      <c r="A499" s="7" t="inlineStr">
        <is>
          <t>sgc-2024-5</t>
        </is>
      </c>
      <c r="B499" s="7" t="n">
        <v>5</v>
      </c>
      <c r="C499" s="7" t="inlineStr">
        <is>
          <t>SGC</t>
        </is>
      </c>
      <c r="D499" s="7" t="inlineStr">
        <is>
          <t>2024</t>
        </is>
      </c>
      <c r="E499" s="7" t="n">
        <v>5</v>
      </c>
      <c r="F499" s="8" t="n">
        <v>46142</v>
      </c>
      <c r="G499" s="7" t="inlineStr">
        <is>
          <t>JOAN IMAYINNE GALVIS MORENO</t>
        </is>
      </c>
      <c r="H499" s="14" t="n">
        <v>1.5</v>
      </c>
      <c r="I499" s="15">
        <f>IF(H499="","",H499/2)</f>
        <v/>
      </c>
      <c r="J499" s="7">
        <f>IF(H499="",0,IF(SUMPRODUCT((Seguimientos!$A$2:$A$1013=A499)*(Seguimientos!$F$2:$F$1013=F499)*(Seguimientos!$B$2:$B$1013&gt;B499)*(Seguimientos!$H$2:$H$1013&lt;&gt;""))=0,1,0))</f>
        <v/>
      </c>
      <c r="K499" s="7">
        <f>A499&amp;"|"&amp;B499</f>
        <v/>
      </c>
      <c r="L499" s="13" t="inlineStr">
        <is>
          <t>Desde la Dirección de Sistemas y Tecnología se conformó el Área de Análisis de Datos, la cual es liderada por el Analista de Datos de la Dirección. Actualmente, el área cuenta con un procedimiento, dos manuales, un instructivo y tres formatos publicados en el Modelo de Operación Digital, los cuales soportan y regulan sus actividades y procesos. Adicionalmente, desde esta área se lidera un proyecto estratégico de Inteligencia Artificial, que contempla el suministro de infraestructura tecnológica, licenciamiento, almacenamiento y demás componentes necesarios para su implementación. El costo estimado del proyecto asciende a $1.817.264.486,83. Asimismo, se proyecta la vinculación de personal especializado que fortalecerá el equipo de trabajo y contribuirá al desarrollo y ejecución de las actividades asociadas al proyecto.</t>
        </is>
      </c>
    </row>
    <row r="500">
      <c r="A500" s="7" t="inlineStr">
        <is>
          <t>sgc-2024-5</t>
        </is>
      </c>
      <c r="B500" s="7" t="n">
        <v>6</v>
      </c>
      <c r="C500" s="7" t="inlineStr">
        <is>
          <t>SGC</t>
        </is>
      </c>
      <c r="D500" s="7" t="inlineStr">
        <is>
          <t>2024</t>
        </is>
      </c>
      <c r="E500" s="7" t="n">
        <v>5</v>
      </c>
      <c r="F500" s="8" t="n">
        <v>46142</v>
      </c>
      <c r="G500" s="7" t="inlineStr">
        <is>
          <t>JOAN IMAYINNE GALVIS MORENO</t>
        </is>
      </c>
      <c r="H500" s="14" t="n">
        <v>1.5</v>
      </c>
      <c r="I500" s="15">
        <f>IF(H500="","",H500/2)</f>
        <v/>
      </c>
      <c r="J500" s="7">
        <f>IF(H500="",0,IF(SUMPRODUCT((Seguimientos!$A$2:$A$1013=A500)*(Seguimientos!$F$2:$F$1013=F500)*(Seguimientos!$B$2:$B$1013&gt;B500)*(Seguimientos!$H$2:$H$1013&lt;&gt;""))=0,1,0))</f>
        <v/>
      </c>
      <c r="K500" s="7">
        <f>A500&amp;"|"&amp;B500</f>
        <v/>
      </c>
      <c r="L500" s="13" t="inlineStr">
        <is>
          <t>Desde la Dirección de Sistemas y Tecnología se conformó el Área de Análisis de Datos, la cual es liderada por el Analista de Datos de la Dirección. Actualmente, el área cuenta con un procedimiento, dos manuales, un instructivo y tres formatos publicados en el Modelo de Operación Digital, los cuales soportan y regulan sus actividades y procesos. Adicionalmente, desde esta área se lidera un proyecto estratégico de Inteligencia Artificial, que contempla el suministro de infraestructura tecnológica, licenciamiento, almacenamiento y demás componentes necesarios para su implementación. El costo estimado del proyecto asciende a $1.817.264.486,83. Asimismo, se proyecta la vinculación de personal especializado que fortalecerá el equipo de trabajo y contribuirá al desarrollo y ejecución de las actividades asociadas al proyecto.</t>
        </is>
      </c>
    </row>
    <row r="501">
      <c r="A501" s="7" t="inlineStr">
        <is>
          <t>sgc-2024-6</t>
        </is>
      </c>
      <c r="B501" s="7" t="n">
        <v>1</v>
      </c>
      <c r="C501" s="7" t="inlineStr">
        <is>
          <t>SGC</t>
        </is>
      </c>
      <c r="D501" s="7" t="inlineStr">
        <is>
          <t>2024</t>
        </is>
      </c>
      <c r="E501" s="7" t="n">
        <v>6</v>
      </c>
      <c r="F501" s="8" t="n">
        <v>45777</v>
      </c>
      <c r="G501" s="7" t="inlineStr">
        <is>
          <t>DANIEL EDUARDO SOTO BERNAL</t>
        </is>
      </c>
      <c r="H501" s="14" t="n">
        <v>0</v>
      </c>
      <c r="I501" s="15">
        <f>IF(H501="","",H501/2)</f>
        <v/>
      </c>
      <c r="J501" s="7">
        <f>IF(H501="",0,IF(SUMPRODUCT((Seguimientos!$A$2:$A$1013=A501)*(Seguimientos!$F$2:$F$1013=F501)*(Seguimientos!$B$2:$B$1013&gt;B501)*(Seguimientos!$H$2:$H$1013&lt;&gt;""))=0,1,0))</f>
        <v/>
      </c>
      <c r="K501" s="7">
        <f>A501&amp;"|"&amp;B501</f>
        <v/>
      </c>
      <c r="L501" s="13" t="inlineStr">
        <is>
          <t>EN TÉRMINOS DE EJECUCIÓN</t>
        </is>
      </c>
    </row>
    <row r="502">
      <c r="A502" s="7" t="inlineStr">
        <is>
          <t>sgc-2024-6</t>
        </is>
      </c>
      <c r="B502" s="7" t="n">
        <v>2</v>
      </c>
      <c r="C502" s="7" t="inlineStr">
        <is>
          <t>SGC</t>
        </is>
      </c>
      <c r="D502" s="7" t="inlineStr">
        <is>
          <t>2024</t>
        </is>
      </c>
      <c r="E502" s="7" t="n">
        <v>6</v>
      </c>
      <c r="F502" s="8" t="n">
        <v>45838</v>
      </c>
      <c r="G502" s="7" t="inlineStr">
        <is>
          <t>DANIEL EDUARDO SOTO BERNAL</t>
        </is>
      </c>
      <c r="H502" s="14" t="n">
        <v>0</v>
      </c>
      <c r="I502" s="15">
        <f>IF(H502="","",H502/2)</f>
        <v/>
      </c>
      <c r="J502" s="7">
        <f>IF(H502="",0,IF(SUMPRODUCT((Seguimientos!$A$2:$A$1013=A502)*(Seguimientos!$F$2:$F$1013=F502)*(Seguimientos!$B$2:$B$1013&gt;B502)*(Seguimientos!$H$2:$H$1013&lt;&gt;""))=0,1,0))</f>
        <v/>
      </c>
      <c r="K502" s="7">
        <f>A502&amp;"|"&amp;B502</f>
        <v/>
      </c>
      <c r="L502" s="13" t="inlineStr">
        <is>
          <t>EN TÉRMINOS DE EJECUCIÓN</t>
        </is>
      </c>
    </row>
    <row r="503">
      <c r="A503" s="7" t="inlineStr">
        <is>
          <t>sgc-2024-6</t>
        </is>
      </c>
      <c r="B503" s="7" t="n">
        <v>3</v>
      </c>
      <c r="C503" s="7" t="inlineStr">
        <is>
          <t>SGC</t>
        </is>
      </c>
      <c r="D503" s="7" t="inlineStr">
        <is>
          <t>2024</t>
        </is>
      </c>
      <c r="E503" s="7" t="n">
        <v>6</v>
      </c>
      <c r="F503" s="8" t="n">
        <v>45930</v>
      </c>
      <c r="G503" s="7" t="inlineStr">
        <is>
          <t>JOAN IMAYINNE GALVIS MORENO</t>
        </is>
      </c>
      <c r="H503" s="14" t="n">
        <v>1</v>
      </c>
      <c r="I503" s="15">
        <f>IF(H503="","",H503/2)</f>
        <v/>
      </c>
      <c r="J503" s="7">
        <f>IF(H503="",0,IF(SUMPRODUCT((Seguimientos!$A$2:$A$1013=A503)*(Seguimientos!$F$2:$F$1013=F503)*(Seguimientos!$B$2:$B$1013&gt;B503)*(Seguimientos!$H$2:$H$1013&lt;&gt;""))=0,1,0))</f>
        <v/>
      </c>
      <c r="K503" s="7">
        <f>A503&amp;"|"&amp;B503</f>
        <v/>
      </c>
      <c r="L503" s="13" t="inlineStr">
        <is>
          <t>La norma NTC 6714:2023 establece un enfoque integral que abarca desde la sostenibilidad en edificaciones hasta principios de seguridad en escaleras mecánicas y andenes móviles, además de considerar aspectos de planificación y diseño de ambientes escolares. La elaboración de estos planes se organiza en cinco etapas: Etapa 1. Diagnostico identificación de necesidades Etapa 2. Formulación programación y proyección de intervenciones Etapa 3. Evaluación de la pertinencia y viabilidad del plan Etapa 4. Aprobación Etapa 5. Implementación seguimiento y evaluación, con corte al 30 de septiembre se está en la etapa 1. EN SEGUIMIENTO Fuente de información: Acta de comisión de control interno 2024 - Entrevista con la doctora Adriana Torres 2025-10-24.</t>
        </is>
      </c>
    </row>
    <row r="504">
      <c r="A504" s="7" t="inlineStr">
        <is>
          <t>sgc-2024-6</t>
        </is>
      </c>
      <c r="B504" s="7" t="n">
        <v>4</v>
      </c>
      <c r="C504" s="7" t="inlineStr">
        <is>
          <t>SGC</t>
        </is>
      </c>
      <c r="D504" s="7" t="inlineStr">
        <is>
          <t>2024</t>
        </is>
      </c>
      <c r="E504" s="7" t="n">
        <v>6</v>
      </c>
      <c r="F504" s="8" t="n">
        <v>46021</v>
      </c>
      <c r="G504" s="7" t="inlineStr">
        <is>
          <t>JOAN IMAYINNE GALVIS MORENO</t>
        </is>
      </c>
      <c r="H504" s="14" t="n">
        <v>1</v>
      </c>
      <c r="I504" s="15">
        <f>IF(H504="","",H504/2)</f>
        <v/>
      </c>
      <c r="J504" s="7">
        <f>IF(H504="",0,IF(SUMPRODUCT((Seguimientos!$A$2:$A$1013=A504)*(Seguimientos!$F$2:$F$1013=F504)*(Seguimientos!$B$2:$B$1013&gt;B504)*(Seguimientos!$H$2:$H$1013&lt;&gt;""))=0,1,0))</f>
        <v/>
      </c>
      <c r="K504" s="7">
        <f>A504&amp;"|"&amp;B504</f>
        <v/>
      </c>
      <c r="L504" s="13" t="inlineStr"/>
    </row>
    <row r="505">
      <c r="A505" s="7" t="inlineStr">
        <is>
          <t>sgc-2024-6</t>
        </is>
      </c>
      <c r="B505" s="7" t="n">
        <v>5</v>
      </c>
      <c r="C505" s="7" t="inlineStr">
        <is>
          <t>SGC</t>
        </is>
      </c>
      <c r="D505" s="7" t="inlineStr">
        <is>
          <t>2024</t>
        </is>
      </c>
      <c r="E505" s="7" t="n">
        <v>6</v>
      </c>
      <c r="F505" s="8" t="n">
        <v>46142</v>
      </c>
      <c r="G505" s="7" t="inlineStr">
        <is>
          <t>JOAN IMAYINNE GALVIS MORENO</t>
        </is>
      </c>
      <c r="H505" s="14" t="n">
        <v>1.5</v>
      </c>
      <c r="I505" s="15">
        <f>IF(H505="","",H505/2)</f>
        <v/>
      </c>
      <c r="J505" s="7">
        <f>IF(H505="",0,IF(SUMPRODUCT((Seguimientos!$A$2:$A$1013=A505)*(Seguimientos!$F$2:$F$1013=F505)*(Seguimientos!$B$2:$B$1013&gt;B505)*(Seguimientos!$H$2:$H$1013&lt;&gt;""))=0,1,0))</f>
        <v/>
      </c>
      <c r="K505" s="7">
        <f>A505&amp;"|"&amp;B505</f>
        <v/>
      </c>
      <c r="L505" s="13" t="inlineStr">
        <is>
          <t>Se realizaron ajustes e incorporacion de controles en el aplicativo integradoc, en donde se inclueron las actividades 15 y 16 relacionadas co, solicitud formal de actuaciones contractuales y registro del tramite desde su solicitud hasta la notificacion final, ademas de integrar un seguimiento periodico a supervisores.</t>
        </is>
      </c>
    </row>
    <row r="506">
      <c r="A506" s="7" t="inlineStr">
        <is>
          <t>sgc-2024-6</t>
        </is>
      </c>
      <c r="B506" s="7" t="n">
        <v>6</v>
      </c>
      <c r="C506" s="7" t="inlineStr">
        <is>
          <t>SGC</t>
        </is>
      </c>
      <c r="D506" s="7" t="inlineStr">
        <is>
          <t>2024</t>
        </is>
      </c>
      <c r="E506" s="7" t="n">
        <v>6</v>
      </c>
      <c r="F506" s="8" t="n">
        <v>46142</v>
      </c>
      <c r="G506" s="7" t="inlineStr">
        <is>
          <t>JOAN IMAYINNE GALVIS MORENO</t>
        </is>
      </c>
      <c r="H506" s="14" t="n">
        <v>1.5</v>
      </c>
      <c r="I506" s="15">
        <f>IF(H506="","",H506/2)</f>
        <v/>
      </c>
      <c r="J506" s="7">
        <f>IF(H506="",0,IF(SUMPRODUCT((Seguimientos!$A$2:$A$1013=A506)*(Seguimientos!$F$2:$F$1013=F506)*(Seguimientos!$B$2:$B$1013&gt;B506)*(Seguimientos!$H$2:$H$1013&lt;&gt;""))=0,1,0))</f>
        <v/>
      </c>
      <c r="K506" s="7">
        <f>A506&amp;"|"&amp;B506</f>
        <v/>
      </c>
      <c r="L506" s="13" t="inlineStr">
        <is>
          <t>Se realizaron ajustes e incorporacion de controles en el aplicativo integradoc, en donde se inclueron las actividades 15 y 16 relacionadas co, solicitud formal de actuaciones contractuales y registro del tramite desde su solicitud hasta la notificacion final, ademas de integrar un seguimiento periodico a supervisores.</t>
        </is>
      </c>
    </row>
    <row r="507">
      <c r="A507" s="7" t="inlineStr">
        <is>
          <t>sgc-2024-7</t>
        </is>
      </c>
      <c r="B507" s="7" t="n">
        <v>1</v>
      </c>
      <c r="C507" s="7" t="inlineStr">
        <is>
          <t>SGC</t>
        </is>
      </c>
      <c r="D507" s="7" t="inlineStr">
        <is>
          <t>2024</t>
        </is>
      </c>
      <c r="E507" s="7" t="n">
        <v>7</v>
      </c>
      <c r="F507" s="8" t="n">
        <v>45777</v>
      </c>
      <c r="G507" s="7" t="inlineStr">
        <is>
          <t>DANIEL EDUARDO SOTO BERNAL</t>
        </is>
      </c>
      <c r="H507" s="14" t="n">
        <v>0.5</v>
      </c>
      <c r="I507" s="15">
        <f>IF(H507="","",H507/2)</f>
        <v/>
      </c>
      <c r="J507" s="7">
        <f>IF(H507="",0,IF(SUMPRODUCT((Seguimientos!$A$2:$A$1013=A507)*(Seguimientos!$F$2:$F$1013=F507)*(Seguimientos!$B$2:$B$1013&gt;B507)*(Seguimientos!$H$2:$H$1013&lt;&gt;""))=0,1,0))</f>
        <v/>
      </c>
      <c r="K507" s="7">
        <f>A507&amp;"|"&amp;B507</f>
        <v/>
      </c>
      <c r="L507" s="13" t="inlineStr">
        <is>
          <t>ATH Se adjunta correo con solicitud ante la Dirección de Bienes y Servicios, para el cumplimiento de la actividad.</t>
        </is>
      </c>
    </row>
    <row r="508">
      <c r="A508" s="7" t="inlineStr">
        <is>
          <t>sgc-2024-7</t>
        </is>
      </c>
      <c r="B508" s="7" t="n">
        <v>2</v>
      </c>
      <c r="C508" s="7" t="inlineStr">
        <is>
          <t>SGC</t>
        </is>
      </c>
      <c r="D508" s="7" t="inlineStr">
        <is>
          <t>2024</t>
        </is>
      </c>
      <c r="E508" s="7" t="n">
        <v>7</v>
      </c>
      <c r="F508" s="8" t="n">
        <v>45838</v>
      </c>
      <c r="G508" s="7" t="inlineStr">
        <is>
          <t>DANIEL EDUARDO SOTO BERNAL</t>
        </is>
      </c>
      <c r="H508" s="14" t="n">
        <v>1.5</v>
      </c>
      <c r="I508" s="15">
        <f>IF(H508="","",H508/2)</f>
        <v/>
      </c>
      <c r="J508" s="7">
        <f>IF(H508="",0,IF(SUMPRODUCT((Seguimientos!$A$2:$A$1013=A508)*(Seguimientos!$F$2:$F$1013=F508)*(Seguimientos!$B$2:$B$1013&gt;B508)*(Seguimientos!$H$2:$H$1013&lt;&gt;""))=0,1,0))</f>
        <v/>
      </c>
      <c r="K508" s="7">
        <f>A508&amp;"|"&amp;B508</f>
        <v/>
      </c>
      <c r="L508" s="13" t="inlineStr">
        <is>
          <t>Se adjunta como evidencia: -Presentación de la CAPACITACIÓN SUPERVISORES E INTERVENTORES. -Consolidado de asistencia a las diferentes convocatorias de capacitación</t>
        </is>
      </c>
    </row>
    <row r="509">
      <c r="A509" s="7" t="inlineStr">
        <is>
          <t>sgc-2024-7</t>
        </is>
      </c>
      <c r="B509" s="7" t="n">
        <v>3</v>
      </c>
      <c r="C509" s="7" t="inlineStr">
        <is>
          <t>SGC</t>
        </is>
      </c>
      <c r="D509" s="7" t="inlineStr">
        <is>
          <t>2024</t>
        </is>
      </c>
      <c r="E509" s="7" t="n">
        <v>7</v>
      </c>
      <c r="F509" s="8" t="n">
        <v>45930</v>
      </c>
      <c r="G509" s="7" t="inlineStr">
        <is>
          <t>JOAN IMAYINNE GALVIS MORENO</t>
        </is>
      </c>
      <c r="H509" s="14" t="n">
        <v>2</v>
      </c>
      <c r="I509" s="15">
        <f>IF(H509="","",H509/2)</f>
        <v/>
      </c>
      <c r="J509" s="7">
        <f>IF(H509="",0,IF(SUMPRODUCT((Seguimientos!$A$2:$A$1013=A509)*(Seguimientos!$F$2:$F$1013=F509)*(Seguimientos!$B$2:$B$1013&gt;B509)*(Seguimientos!$H$2:$H$1013&lt;&gt;""))=0,1,0))</f>
        <v/>
      </c>
      <c r="K509" s="7">
        <f>A509&amp;"|"&amp;B509</f>
        <v/>
      </c>
      <c r="L509" s="13" t="inlineStr">
        <is>
          <t>Se revisa micrositio de pagina web en el cual se encuentran diferentes cartillas y manuales alusivos a la responsabilidad de la supervisión. Adicionalmente en relación con actividades de capacitación durante la vig 2025 se recibe informe del día 20252-10-22 en el cual se enuncia diversas actividades para fortalecer la formación continua con los supervisores, a saber: - Modificaciones a los criterios de evaluación y reevaluación de proveedores - Se ha formulado una propuesta de actualización e implementación de nuevos requisitos habilitantes para los procesos de contratación de la Universidad. - El día 6 de octubre una jornada de capacitación y socialización dirigida a los funcionarios responsables de la supervisión de contratos asistieron 67 personas</t>
        </is>
      </c>
    </row>
    <row r="510">
      <c r="A510" s="7" t="inlineStr">
        <is>
          <t>sgc-2024-7</t>
        </is>
      </c>
      <c r="B510" s="7" t="n">
        <v>4</v>
      </c>
      <c r="C510" s="7" t="inlineStr">
        <is>
          <t>SGC</t>
        </is>
      </c>
      <c r="D510" s="7" t="inlineStr">
        <is>
          <t>2024</t>
        </is>
      </c>
      <c r="E510" s="7" t="n">
        <v>7</v>
      </c>
      <c r="F510" s="8" t="n">
        <v>46021</v>
      </c>
      <c r="G510" s="7" t="inlineStr">
        <is>
          <t>JOAN IMAYINNE GALVIS MORENO</t>
        </is>
      </c>
      <c r="H510" s="14" t="n">
        <v>2</v>
      </c>
      <c r="I510" s="15">
        <f>IF(H510="","",H510/2)</f>
        <v/>
      </c>
      <c r="J510" s="7">
        <f>IF(H510="",0,IF(SUMPRODUCT((Seguimientos!$A$2:$A$1013=A510)*(Seguimientos!$F$2:$F$1013=F510)*(Seguimientos!$B$2:$B$1013&gt;B510)*(Seguimientos!$H$2:$H$1013&lt;&gt;""))=0,1,0))</f>
        <v/>
      </c>
      <c r="K510" s="7">
        <f>A510&amp;"|"&amp;B510</f>
        <v/>
      </c>
      <c r="L510" s="13" t="inlineStr">
        <is>
          <t>ACTIVIDAD COMPLETADA</t>
        </is>
      </c>
    </row>
    <row r="511">
      <c r="A511" s="7" t="inlineStr">
        <is>
          <t>sgc-2024-7</t>
        </is>
      </c>
      <c r="B511" s="7" t="n">
        <v>5</v>
      </c>
      <c r="C511" s="7" t="inlineStr">
        <is>
          <t>SGC</t>
        </is>
      </c>
      <c r="D511" s="7" t="inlineStr">
        <is>
          <t>2024</t>
        </is>
      </c>
      <c r="E511" s="7" t="n">
        <v>7</v>
      </c>
      <c r="F511" s="8" t="n">
        <v>46142</v>
      </c>
      <c r="G511" s="7" t="inlineStr">
        <is>
          <t>JOAN IMAYINNE GALVIS MORENO</t>
        </is>
      </c>
      <c r="H511" s="14" t="n">
        <v>2</v>
      </c>
      <c r="I511" s="15">
        <f>IF(H511="","",H511/2)</f>
        <v/>
      </c>
      <c r="J511" s="7">
        <f>IF(H511="",0,IF(SUMPRODUCT((Seguimientos!$A$2:$A$1013=A511)*(Seguimientos!$F$2:$F$1013=F511)*(Seguimientos!$B$2:$B$1013&gt;B511)*(Seguimientos!$H$2:$H$1013&lt;&gt;""))=0,1,0))</f>
        <v/>
      </c>
      <c r="K511" s="7">
        <f>A511&amp;"|"&amp;B511</f>
        <v/>
      </c>
      <c r="L511" s="13" t="inlineStr">
        <is>
          <t>ACTIVIDAD COMPLETADA</t>
        </is>
      </c>
    </row>
    <row r="512">
      <c r="A512" s="7" t="inlineStr">
        <is>
          <t>sgc-2024-7</t>
        </is>
      </c>
      <c r="B512" s="7" t="n">
        <v>6</v>
      </c>
      <c r="C512" s="7" t="inlineStr">
        <is>
          <t>SGC</t>
        </is>
      </c>
      <c r="D512" s="7" t="inlineStr">
        <is>
          <t>2024</t>
        </is>
      </c>
      <c r="E512" s="7" t="n">
        <v>7</v>
      </c>
      <c r="F512" s="8" t="n">
        <v>46142</v>
      </c>
      <c r="G512" s="7" t="inlineStr">
        <is>
          <t>JOAN IMAYINNE GALVIS MORENO</t>
        </is>
      </c>
      <c r="H512" s="14" t="n">
        <v>2</v>
      </c>
      <c r="I512" s="15">
        <f>IF(H512="","",H512/2)</f>
        <v/>
      </c>
      <c r="J512" s="7">
        <f>IF(H512="",0,IF(SUMPRODUCT((Seguimientos!$A$2:$A$1013=A512)*(Seguimientos!$F$2:$F$1013=F512)*(Seguimientos!$B$2:$B$1013&gt;B512)*(Seguimientos!$H$2:$H$1013&lt;&gt;""))=0,1,0))</f>
        <v/>
      </c>
      <c r="K512" s="7">
        <f>A512&amp;"|"&amp;B512</f>
        <v/>
      </c>
      <c r="L512" s="13" t="inlineStr">
        <is>
          <t>ACTIVIDAD COMPLETADA</t>
        </is>
      </c>
    </row>
    <row r="513">
      <c r="A513" s="7" t="inlineStr">
        <is>
          <t>sgc-2024-8</t>
        </is>
      </c>
      <c r="B513" s="7" t="n">
        <v>1</v>
      </c>
      <c r="C513" s="7" t="inlineStr">
        <is>
          <t>SGC</t>
        </is>
      </c>
      <c r="D513" s="7" t="inlineStr">
        <is>
          <t>2024</t>
        </is>
      </c>
      <c r="E513" s="7" t="n">
        <v>8</v>
      </c>
      <c r="F513" s="8" t="n">
        <v>45777</v>
      </c>
      <c r="G513" s="7" t="inlineStr">
        <is>
          <t>DANIEL EDUARDO SOTO BERNAL</t>
        </is>
      </c>
      <c r="H513" s="14" t="n">
        <v>0</v>
      </c>
      <c r="I513" s="15">
        <f>IF(H513="","",H513/2)</f>
        <v/>
      </c>
      <c r="J513" s="7">
        <f>IF(H513="",0,IF(SUMPRODUCT((Seguimientos!$A$2:$A$1013=A513)*(Seguimientos!$F$2:$F$1013=F513)*(Seguimientos!$B$2:$B$1013&gt;B513)*(Seguimientos!$H$2:$H$1013&lt;&gt;""))=0,1,0))</f>
        <v/>
      </c>
      <c r="K513" s="7">
        <f>A513&amp;"|"&amp;B513</f>
        <v/>
      </c>
      <c r="L513" s="13" t="inlineStr">
        <is>
          <t>EN TÉRMINOS DE EJECUCIÓN</t>
        </is>
      </c>
    </row>
    <row r="514">
      <c r="A514" s="7" t="inlineStr">
        <is>
          <t>sgc-2024-8</t>
        </is>
      </c>
      <c r="B514" s="7" t="n">
        <v>2</v>
      </c>
      <c r="C514" s="7" t="inlineStr">
        <is>
          <t>SGC</t>
        </is>
      </c>
      <c r="D514" s="7" t="inlineStr">
        <is>
          <t>2024</t>
        </is>
      </c>
      <c r="E514" s="7" t="n">
        <v>8</v>
      </c>
      <c r="F514" s="8" t="n">
        <v>45838</v>
      </c>
      <c r="G514" s="7" t="inlineStr">
        <is>
          <t>DANIEL EDUARDO SOTO BERNAL</t>
        </is>
      </c>
      <c r="H514" s="14" t="n">
        <v>1</v>
      </c>
      <c r="I514" s="15">
        <f>IF(H514="","",H514/2)</f>
        <v/>
      </c>
      <c r="J514" s="7">
        <f>IF(H514="",0,IF(SUMPRODUCT((Seguimientos!$A$2:$A$1013=A514)*(Seguimientos!$F$2:$F$1013=F514)*(Seguimientos!$B$2:$B$1013&gt;B514)*(Seguimientos!$H$2:$H$1013&lt;&gt;""))=0,1,0))</f>
        <v/>
      </c>
      <c r="K514" s="7">
        <f>A514&amp;"|"&amp;B514</f>
        <v/>
      </c>
      <c r="L514" s="13" t="inlineStr">
        <is>
          <t>Se llevó a cabo una mesa de trabajo con el Sistema de Gestión de Calidad con el objetivo de revisar la matriz propuesta para unificar los planes de mejoramiento gestionados por la Dirección de Planeación Institucional y el Sistema de Gestión de Calidad, en el marco del seguimiento a Control Interno. Como resultado de esta reunión, se generó el ACTA N° 44 de Control Interno, en la que se acordó proceder con la revisión del Plan de Mejoramiento correspondiente 14 al hallazgo 2, relacionado con la calidad. Con corte al 30 de septiembre, se espera una decisión final que permita concluir esta tarea de Revisión por la Dirección vig 2024.</t>
        </is>
      </c>
    </row>
    <row r="515">
      <c r="A515" s="7" t="inlineStr">
        <is>
          <t>sgc-2024-8</t>
        </is>
      </c>
      <c r="B515" s="7" t="n">
        <v>3</v>
      </c>
      <c r="C515" s="7" t="inlineStr">
        <is>
          <t>SGC</t>
        </is>
      </c>
      <c r="D515" s="7" t="inlineStr">
        <is>
          <t>2024</t>
        </is>
      </c>
      <c r="E515" s="7" t="n">
        <v>8</v>
      </c>
      <c r="F515" s="8" t="n">
        <v>45930</v>
      </c>
      <c r="G515" s="7" t="inlineStr">
        <is>
          <t>JOAN IMAYINNE GALVIS MORENO</t>
        </is>
      </c>
      <c r="H515" s="14" t="n">
        <v>2</v>
      </c>
      <c r="I515" s="15">
        <f>IF(H515="","",H515/2)</f>
        <v/>
      </c>
      <c r="J515" s="7">
        <f>IF(H515="",0,IF(SUMPRODUCT((Seguimientos!$A$2:$A$1013=A515)*(Seguimientos!$F$2:$F$1013=F515)*(Seguimientos!$B$2:$B$1013&gt;B515)*(Seguimientos!$H$2:$H$1013&lt;&gt;""))=0,1,0))</f>
        <v/>
      </c>
      <c r="K515" s="7">
        <f>A515&amp;"|"&amp;B515</f>
        <v/>
      </c>
      <c r="L515" s="13" t="inlineStr">
        <is>
          <t>En cuanto a Planes de Mejoramiento de Contraloría, Dirección de Control Interno a realizado la unificación de Planes de Mejoramiento. Como resultado de Auditorías Internas, se ha llevado a cabo el proceso unificar los planes de mejoramiento teniendo en cuenta el origen del hallazgo y la naturaleza de la misma. Se relacionan a continuación: - Se anula el Plan de Mejoramiento N°1007 de la Oficina de Desarrollo Académico dado que, el hallazgo será tratado desde el plan de mejoramiento No. 1006 de la Dirección de Talento Humano, esto debido a que las acciones ya fueron cargadas y en el momento el plan ya está en ejecución. - Se anula el Plan de Mejoramiento N°761 de Sistemas y Tecnología dado que, los hallazgos serán tratados desde los planes de mejoramiento No. 4 y N°. 6 de Sistema de Gestión de Seguridad de la Información esto debido a que se relacionan en origen y naturaleza del hallazgo. Se llevó a cabo una mesa de trabajo con el Sistema de Gestión de Calidad con el objetivo de revisar la matriz propuesta para unificar los planes de mejoramiento gestionados por la Dirección de Planeación Institucional y el Sistema de Gestión de Calidad, en el marco del seguimiento a Control Interno. Como resultado de esta reunión, se generó el ACTA N° 44 de Control Interno, en la que se acordó proceder en el Plan de Mejoramiento 894 Hallazgo 3, y se anula el Plan de Mejoramiento 142 de Calidad y Planeación.</t>
        </is>
      </c>
    </row>
    <row r="516">
      <c r="A516" s="7" t="inlineStr">
        <is>
          <t>sgc-2024-8</t>
        </is>
      </c>
      <c r="B516" s="7" t="n">
        <v>4</v>
      </c>
      <c r="C516" s="7" t="inlineStr">
        <is>
          <t>SGC</t>
        </is>
      </c>
      <c r="D516" s="7" t="inlineStr">
        <is>
          <t>2024</t>
        </is>
      </c>
      <c r="E516" s="7" t="n">
        <v>8</v>
      </c>
      <c r="F516" s="8" t="n">
        <v>46021</v>
      </c>
      <c r="G516" s="7" t="inlineStr">
        <is>
          <t>JOAN IMAYINNE GALVIS MORENO</t>
        </is>
      </c>
      <c r="H516" s="14" t="n">
        <v>2</v>
      </c>
      <c r="I516" s="15">
        <f>IF(H516="","",H516/2)</f>
        <v/>
      </c>
      <c r="J516" s="7">
        <f>IF(H516="",0,IF(SUMPRODUCT((Seguimientos!$A$2:$A$1013=A516)*(Seguimientos!$F$2:$F$1013=F516)*(Seguimientos!$B$2:$B$1013&gt;B516)*(Seguimientos!$H$2:$H$1013&lt;&gt;""))=0,1,0))</f>
        <v/>
      </c>
      <c r="K516" s="7">
        <f>A516&amp;"|"&amp;B516</f>
        <v/>
      </c>
      <c r="L516" s="13" t="inlineStr">
        <is>
          <t>ACTIVIDAD COMPLETADA</t>
        </is>
      </c>
    </row>
    <row r="517">
      <c r="A517" s="7" t="inlineStr">
        <is>
          <t>sgc-2024-8</t>
        </is>
      </c>
      <c r="B517" s="7" t="n">
        <v>5</v>
      </c>
      <c r="C517" s="7" t="inlineStr">
        <is>
          <t>SGC</t>
        </is>
      </c>
      <c r="D517" s="7" t="inlineStr">
        <is>
          <t>2024</t>
        </is>
      </c>
      <c r="E517" s="7" t="n">
        <v>8</v>
      </c>
      <c r="F517" s="8" t="n">
        <v>46142</v>
      </c>
      <c r="G517" s="7" t="inlineStr">
        <is>
          <t>JOAN IMAYINNE GALVIS MORENO</t>
        </is>
      </c>
      <c r="H517" s="14" t="n">
        <v>2</v>
      </c>
      <c r="I517" s="15">
        <f>IF(H517="","",H517/2)</f>
        <v/>
      </c>
      <c r="J517" s="7">
        <f>IF(H517="",0,IF(SUMPRODUCT((Seguimientos!$A$2:$A$1013=A517)*(Seguimientos!$F$2:$F$1013=F517)*(Seguimientos!$B$2:$B$1013&gt;B517)*(Seguimientos!$H$2:$H$1013&lt;&gt;""))=0,1,0))</f>
        <v/>
      </c>
      <c r="K517" s="7">
        <f>A517&amp;"|"&amp;B517</f>
        <v/>
      </c>
      <c r="L517" s="13" t="inlineStr">
        <is>
          <t>ACTIVIDAD COMPLETADA</t>
        </is>
      </c>
    </row>
    <row r="518">
      <c r="A518" s="7" t="inlineStr">
        <is>
          <t>sgc-2024-8</t>
        </is>
      </c>
      <c r="B518" s="7" t="n">
        <v>6</v>
      </c>
      <c r="C518" s="7" t="inlineStr">
        <is>
          <t>SGC</t>
        </is>
      </c>
      <c r="D518" s="7" t="inlineStr">
        <is>
          <t>2024</t>
        </is>
      </c>
      <c r="E518" s="7" t="n">
        <v>8</v>
      </c>
      <c r="F518" s="8" t="n">
        <v>46142</v>
      </c>
      <c r="G518" s="7" t="inlineStr">
        <is>
          <t>JOAN IMAYINNE GALVIS MORENO</t>
        </is>
      </c>
      <c r="H518" s="14" t="n">
        <v>2</v>
      </c>
      <c r="I518" s="15">
        <f>IF(H518="","",H518/2)</f>
        <v/>
      </c>
      <c r="J518" s="7">
        <f>IF(H518="",0,IF(SUMPRODUCT((Seguimientos!$A$2:$A$1013=A518)*(Seguimientos!$F$2:$F$1013=F518)*(Seguimientos!$B$2:$B$1013&gt;B518)*(Seguimientos!$H$2:$H$1013&lt;&gt;""))=0,1,0))</f>
        <v/>
      </c>
      <c r="K518" s="7">
        <f>A518&amp;"|"&amp;B518</f>
        <v/>
      </c>
      <c r="L518" s="13" t="inlineStr">
        <is>
          <t>ACTIVIDAD COMPLETADA</t>
        </is>
      </c>
    </row>
    <row r="519">
      <c r="A519" s="7" t="inlineStr">
        <is>
          <t>sgc-2024-9</t>
        </is>
      </c>
      <c r="B519" s="7" t="n">
        <v>1</v>
      </c>
      <c r="C519" s="7" t="inlineStr">
        <is>
          <t>SGC</t>
        </is>
      </c>
      <c r="D519" s="7" t="inlineStr">
        <is>
          <t>2024</t>
        </is>
      </c>
      <c r="E519" s="7" t="n">
        <v>9</v>
      </c>
      <c r="F519" s="8" t="n">
        <v>45777</v>
      </c>
      <c r="G519" s="7" t="inlineStr">
        <is>
          <t>DANIEL EDUARDO SOTO BERNAL</t>
        </is>
      </c>
      <c r="H519" s="14" t="n">
        <v>1</v>
      </c>
      <c r="I519" s="15">
        <f>IF(H519="","",H519/2)</f>
        <v/>
      </c>
      <c r="J519" s="7">
        <f>IF(H519="",0,IF(SUMPRODUCT((Seguimientos!$A$2:$A$1013=A519)*(Seguimientos!$F$2:$F$1013=F519)*(Seguimientos!$B$2:$B$1013&gt;B519)*(Seguimientos!$H$2:$H$1013&lt;&gt;""))=0,1,0))</f>
        <v/>
      </c>
      <c r="K519" s="7">
        <f>A519&amp;"|"&amp;B519</f>
        <v/>
      </c>
      <c r="L519" s="13" t="inlineStr">
        <is>
          <t>28-04-2025 ESG Se adjunta consolidado de documentos actualizados durante la vigencia 2025, a corte del día de hoy.</t>
        </is>
      </c>
    </row>
    <row r="520">
      <c r="A520" s="7" t="inlineStr">
        <is>
          <t>sgc-2024-9</t>
        </is>
      </c>
      <c r="B520" s="7" t="n">
        <v>2</v>
      </c>
      <c r="C520" s="7" t="inlineStr">
        <is>
          <t>SGC</t>
        </is>
      </c>
      <c r="D520" s="7" t="inlineStr">
        <is>
          <t>2024</t>
        </is>
      </c>
      <c r="E520" s="7" t="n">
        <v>9</v>
      </c>
      <c r="F520" s="8" t="n">
        <v>45838</v>
      </c>
      <c r="G520" s="7" t="inlineStr">
        <is>
          <t>DANIEL EDUARDO SOTO BERNAL</t>
        </is>
      </c>
      <c r="H520" s="14" t="n">
        <v>1.5</v>
      </c>
      <c r="I520" s="15">
        <f>IF(H520="","",H520/2)</f>
        <v/>
      </c>
      <c r="J520" s="7">
        <f>IF(H520="",0,IF(SUMPRODUCT((Seguimientos!$A$2:$A$1013=A520)*(Seguimientos!$F$2:$F$1013=F520)*(Seguimientos!$B$2:$B$1013&gt;B520)*(Seguimientos!$H$2:$H$1013&lt;&gt;""))=0,1,0))</f>
        <v/>
      </c>
      <c r="K520" s="7">
        <f>A520&amp;"|"&amp;B520</f>
        <v/>
      </c>
      <c r="L520" s="13" t="inlineStr">
        <is>
          <t>Desde el Sistema de Gestión de Calidad ESGC adjunta documento PDF el cual contiene la estadística El listado maestro de documentos internos Sistema de Administración de Documentos SAD, no se evidencia informe de este le documento.</t>
        </is>
      </c>
    </row>
    <row r="521">
      <c r="A521" s="7" t="inlineStr">
        <is>
          <t>sgc-2024-9</t>
        </is>
      </c>
      <c r="B521" s="7" t="n">
        <v>3</v>
      </c>
      <c r="C521" s="7" t="inlineStr">
        <is>
          <t>SGC</t>
        </is>
      </c>
      <c r="D521" s="7" t="inlineStr">
        <is>
          <t>2024</t>
        </is>
      </c>
      <c r="E521" s="7" t="n">
        <v>9</v>
      </c>
      <c r="F521" s="8" t="n">
        <v>45930</v>
      </c>
      <c r="G521" s="7" t="inlineStr">
        <is>
          <t>JOAN IMAYINNE GALVIS MORENO</t>
        </is>
      </c>
      <c r="H521" s="14" t="n">
        <v>1.5</v>
      </c>
      <c r="I521" s="15">
        <f>IF(H521="","",H521/2)</f>
        <v/>
      </c>
      <c r="J521" s="7">
        <f>IF(H521="",0,IF(SUMPRODUCT((Seguimientos!$A$2:$A$1013=A521)*(Seguimientos!$F$2:$F$1013=F521)*(Seguimientos!$B$2:$B$1013&gt;B521)*(Seguimientos!$H$2:$H$1013&lt;&gt;""))=0,1,0))</f>
        <v/>
      </c>
      <c r="K521" s="7">
        <f>A521&amp;"|"&amp;B521</f>
        <v/>
      </c>
      <c r="L521" s="13" t="inlineStr">
        <is>
          <t>Desde el Sistema de Gestión de Calidad ESGC adjuntan documento PDF el cual contiene la estadística El listado maestro de documentos internos Sistema de Administración de Documentos SAD. En proceso. Sujeto a la integración de los sistemas de gestión.</t>
        </is>
      </c>
    </row>
    <row r="522">
      <c r="A522" s="7" t="inlineStr">
        <is>
          <t>sgc-2024-9</t>
        </is>
      </c>
      <c r="B522" s="7" t="n">
        <v>4</v>
      </c>
      <c r="C522" s="7" t="inlineStr">
        <is>
          <t>SGC</t>
        </is>
      </c>
      <c r="D522" s="7" t="inlineStr">
        <is>
          <t>2024</t>
        </is>
      </c>
      <c r="E522" s="7" t="n">
        <v>9</v>
      </c>
      <c r="F522" s="8" t="n">
        <v>46021</v>
      </c>
      <c r="G522" s="7" t="inlineStr">
        <is>
          <t>JOAN IMAYINNE GALVIS MORENO</t>
        </is>
      </c>
      <c r="H522" s="14" t="n">
        <v>1.5</v>
      </c>
      <c r="I522" s="15">
        <f>IF(H522="","",H522/2)</f>
        <v/>
      </c>
      <c r="J522" s="7">
        <f>IF(H522="",0,IF(SUMPRODUCT((Seguimientos!$A$2:$A$1013=A522)*(Seguimientos!$F$2:$F$1013=F522)*(Seguimientos!$B$2:$B$1013&gt;B522)*(Seguimientos!$H$2:$H$1013&lt;&gt;""))=0,1,0))</f>
        <v/>
      </c>
      <c r="K522" s="7">
        <f>A522&amp;"|"&amp;B522</f>
        <v/>
      </c>
      <c r="L522" s="13" t="inlineStr">
        <is>
          <t>Desde el Sistema de Gestión de Calidad ESGC adjuntan documento PDF el cual contiene la estadística El listado maestro de documentos internos Sistema de Administración de Documentos SAD. En proceso. Aun faltando las estadísticas del SAD</t>
        </is>
      </c>
    </row>
    <row r="523">
      <c r="A523" s="7" t="inlineStr">
        <is>
          <t>sgc-2024-9</t>
        </is>
      </c>
      <c r="B523" s="7" t="n">
        <v>5</v>
      </c>
      <c r="C523" s="7" t="inlineStr">
        <is>
          <t>SGC</t>
        </is>
      </c>
      <c r="D523" s="7" t="inlineStr">
        <is>
          <t>2024</t>
        </is>
      </c>
      <c r="E523" s="7" t="n">
        <v>9</v>
      </c>
      <c r="F523" s="8" t="n">
        <v>46142</v>
      </c>
      <c r="G523" s="7" t="inlineStr">
        <is>
          <t>JOAN IMAYINNE GALVIS MORENO</t>
        </is>
      </c>
      <c r="H523" s="14" t="n">
        <v>2</v>
      </c>
      <c r="I523" s="15">
        <f>IF(H523="","",H523/2)</f>
        <v/>
      </c>
      <c r="J523" s="7">
        <f>IF(H523="",0,IF(SUMPRODUCT((Seguimientos!$A$2:$A$1013=A523)*(Seguimientos!$F$2:$F$1013=F523)*(Seguimientos!$B$2:$B$1013&gt;B523)*(Seguimientos!$H$2:$H$1013&lt;&gt;""))=0,1,0))</f>
        <v/>
      </c>
      <c r="K523" s="7">
        <f>A523&amp;"|"&amp;B523</f>
        <v/>
      </c>
      <c r="L523" s="13" t="inlineStr">
        <is>
          <t>Se identifica listado maestro de documentos internos Sistema de Administracion de Documentos SAD, debidamente modificados para dar un total de 1404, teniendo ademas un cuaado de lo realizado mensualmente.</t>
        </is>
      </c>
    </row>
    <row r="524">
      <c r="A524" s="7" t="inlineStr">
        <is>
          <t>sgc-2024-9</t>
        </is>
      </c>
      <c r="B524" s="7" t="n">
        <v>6</v>
      </c>
      <c r="C524" s="7" t="inlineStr">
        <is>
          <t>SGC</t>
        </is>
      </c>
      <c r="D524" s="7" t="inlineStr">
        <is>
          <t>2024</t>
        </is>
      </c>
      <c r="E524" s="7" t="n">
        <v>9</v>
      </c>
      <c r="F524" s="8" t="n">
        <v>46142</v>
      </c>
      <c r="G524" s="7" t="inlineStr">
        <is>
          <t>JOAN IMAYINNE GALVIS MORENO</t>
        </is>
      </c>
      <c r="H524" s="14" t="n">
        <v>2</v>
      </c>
      <c r="I524" s="15">
        <f>IF(H524="","",H524/2)</f>
        <v/>
      </c>
      <c r="J524" s="7">
        <f>IF(H524="",0,IF(SUMPRODUCT((Seguimientos!$A$2:$A$1013=A524)*(Seguimientos!$F$2:$F$1013=F524)*(Seguimientos!$B$2:$B$1013&gt;B524)*(Seguimientos!$H$2:$H$1013&lt;&gt;""))=0,1,0))</f>
        <v/>
      </c>
      <c r="K524" s="7">
        <f>A524&amp;"|"&amp;B524</f>
        <v/>
      </c>
      <c r="L524" s="13" t="inlineStr">
        <is>
          <t>ACTIVIDAD COMPLETADA</t>
        </is>
      </c>
    </row>
    <row r="525">
      <c r="A525" s="7" t="inlineStr">
        <is>
          <t>sgc-2024-10</t>
        </is>
      </c>
      <c r="B525" s="7" t="n">
        <v>1</v>
      </c>
      <c r="C525" s="7" t="inlineStr">
        <is>
          <t>SGC</t>
        </is>
      </c>
      <c r="D525" s="7" t="inlineStr">
        <is>
          <t>2024</t>
        </is>
      </c>
      <c r="E525" s="7" t="n">
        <v>10</v>
      </c>
      <c r="F525" s="8" t="n">
        <v>45777</v>
      </c>
      <c r="G525" s="7" t="inlineStr">
        <is>
          <t>DANIEL EDUARDO SOTO BERNAL</t>
        </is>
      </c>
      <c r="H525" s="14" t="n">
        <v>0.5</v>
      </c>
      <c r="I525" s="15">
        <f>IF(H525="","",H525/2)</f>
        <v/>
      </c>
      <c r="J525" s="7">
        <f>IF(H525="",0,IF(SUMPRODUCT((Seguimientos!$A$2:$A$1013=A525)*(Seguimientos!$F$2:$F$1013=F525)*(Seguimientos!$B$2:$B$1013&gt;B525)*(Seguimientos!$H$2:$H$1013&lt;&gt;""))=0,1,0))</f>
        <v/>
      </c>
      <c r="K525" s="7">
        <f>A525&amp;"|"&amp;B525</f>
        <v/>
      </c>
      <c r="L525" s="13" t="inlineStr">
        <is>
          <t>ATH Se adjunta el cronograma correspondiente, a fin de dar cumplimiento a la actividad en lo corrido de la vigencia 2025.</t>
        </is>
      </c>
    </row>
    <row r="526">
      <c r="A526" s="7" t="inlineStr">
        <is>
          <t>sgc-2024-10</t>
        </is>
      </c>
      <c r="B526" s="7" t="n">
        <v>2</v>
      </c>
      <c r="C526" s="7" t="inlineStr">
        <is>
          <t>SGC</t>
        </is>
      </c>
      <c r="D526" s="7" t="inlineStr">
        <is>
          <t>2024</t>
        </is>
      </c>
      <c r="E526" s="7" t="n">
        <v>10</v>
      </c>
      <c r="F526" s="8" t="n">
        <v>45838</v>
      </c>
      <c r="G526" s="7" t="inlineStr">
        <is>
          <t>DANIEL EDUARDO SOTO BERNAL</t>
        </is>
      </c>
      <c r="H526" s="14" t="n">
        <v>0.5</v>
      </c>
      <c r="I526" s="15">
        <f>IF(H526="","",H526/2)</f>
        <v/>
      </c>
      <c r="J526" s="7">
        <f>IF(H526="",0,IF(SUMPRODUCT((Seguimientos!$A$2:$A$1013=A526)*(Seguimientos!$F$2:$F$1013=F526)*(Seguimientos!$B$2:$B$1013&gt;B526)*(Seguimientos!$H$2:$H$1013&lt;&gt;""))=0,1,0))</f>
        <v/>
      </c>
      <c r="K526" s="7">
        <f>A526&amp;"|"&amp;B526</f>
        <v/>
      </c>
      <c r="L526" s="13" t="inlineStr">
        <is>
          <t>EN TÉRMINOS DE EJECUCIÓN</t>
        </is>
      </c>
    </row>
    <row r="527">
      <c r="A527" s="7" t="inlineStr">
        <is>
          <t>sgc-2024-10</t>
        </is>
      </c>
      <c r="B527" s="7" t="n">
        <v>3</v>
      </c>
      <c r="C527" s="7" t="inlineStr">
        <is>
          <t>SGC</t>
        </is>
      </c>
      <c r="D527" s="7" t="inlineStr">
        <is>
          <t>2024</t>
        </is>
      </c>
      <c r="E527" s="7" t="n">
        <v>10</v>
      </c>
      <c r="F527" s="8" t="n">
        <v>45930</v>
      </c>
      <c r="G527" s="7" t="inlineStr">
        <is>
          <t>JOAN IMAYINNE GALVIS MORENO</t>
        </is>
      </c>
      <c r="H527" s="14" t="n">
        <v>1</v>
      </c>
      <c r="I527" s="15">
        <f>IF(H527="","",H527/2)</f>
        <v/>
      </c>
      <c r="J527" s="7">
        <f>IF(H527="",0,IF(SUMPRODUCT((Seguimientos!$A$2:$A$1013=A527)*(Seguimientos!$F$2:$F$1013=F527)*(Seguimientos!$B$2:$B$1013&gt;B527)*(Seguimientos!$H$2:$H$1013&lt;&gt;""))=0,1,0))</f>
        <v/>
      </c>
      <c r="K527" s="7">
        <f>A527&amp;"|"&amp;B527</f>
        <v/>
      </c>
      <c r="L527" s="13" t="inlineStr">
        <is>
          <t>Se presentan documentos borradores: - Política de Traslados - Proyecto de Evaluación Administrativos MEDIT - Evaluación Docente Pendiente de validación. EN SEGUIMIENTO. Se requiere definición de ruta para la aprobación.</t>
        </is>
      </c>
    </row>
    <row r="528">
      <c r="A528" s="7" t="inlineStr">
        <is>
          <t>sgc-2024-10</t>
        </is>
      </c>
      <c r="B528" s="7" t="n">
        <v>4</v>
      </c>
      <c r="C528" s="7" t="inlineStr">
        <is>
          <t>SGC</t>
        </is>
      </c>
      <c r="D528" s="7" t="inlineStr">
        <is>
          <t>2024</t>
        </is>
      </c>
      <c r="E528" s="7" t="n">
        <v>10</v>
      </c>
      <c r="F528" s="8" t="n">
        <v>46021</v>
      </c>
      <c r="G528" s="7" t="inlineStr">
        <is>
          <t>JOAN IMAYINNE GALVIS MORENO</t>
        </is>
      </c>
      <c r="H528" s="14" t="n">
        <v>1</v>
      </c>
      <c r="I528" s="15">
        <f>IF(H528="","",H528/2)</f>
        <v/>
      </c>
      <c r="J528" s="7">
        <f>IF(H528="",0,IF(SUMPRODUCT((Seguimientos!$A$2:$A$1013=A528)*(Seguimientos!$F$2:$F$1013=F528)*(Seguimientos!$B$2:$B$1013&gt;B528)*(Seguimientos!$H$2:$H$1013&lt;&gt;""))=0,1,0))</f>
        <v/>
      </c>
      <c r="K528" s="7">
        <f>A528&amp;"|"&amp;B528</f>
        <v/>
      </c>
      <c r="L528" s="13" t="inlineStr"/>
    </row>
    <row r="529">
      <c r="A529" s="7" t="inlineStr">
        <is>
          <t>sgc-2024-10</t>
        </is>
      </c>
      <c r="B529" s="7" t="n">
        <v>5</v>
      </c>
      <c r="C529" s="7" t="inlineStr">
        <is>
          <t>SGC</t>
        </is>
      </c>
      <c r="D529" s="7" t="inlineStr">
        <is>
          <t>2024</t>
        </is>
      </c>
      <c r="E529" s="7" t="n">
        <v>10</v>
      </c>
      <c r="F529" s="8" t="n">
        <v>46142</v>
      </c>
      <c r="G529" s="7" t="inlineStr">
        <is>
          <t>JOAN IMAYINNE GALVIS MORENO</t>
        </is>
      </c>
      <c r="H529" s="14" t="n">
        <v>1</v>
      </c>
      <c r="I529" s="15">
        <f>IF(H529="","",H529/2)</f>
        <v/>
      </c>
      <c r="J529" s="7">
        <f>IF(H529="",0,IF(SUMPRODUCT((Seguimientos!$A$2:$A$1013=A529)*(Seguimientos!$F$2:$F$1013=F529)*(Seguimientos!$B$2:$B$1013&gt;B529)*(Seguimientos!$H$2:$H$1013&lt;&gt;""))=0,1,0))</f>
        <v/>
      </c>
      <c r="K529" s="7">
        <f>A529&amp;"|"&amp;B529</f>
        <v/>
      </c>
      <c r="L529" s="13" t="inlineStr"/>
    </row>
    <row r="530">
      <c r="A530" s="7" t="inlineStr">
        <is>
          <t>sgc-2024-10</t>
        </is>
      </c>
      <c r="B530" s="7" t="n">
        <v>6</v>
      </c>
      <c r="C530" s="7" t="inlineStr">
        <is>
          <t>SGC</t>
        </is>
      </c>
      <c r="D530" s="7" t="inlineStr">
        <is>
          <t>2024</t>
        </is>
      </c>
      <c r="E530" s="7" t="n">
        <v>10</v>
      </c>
      <c r="F530" s="8" t="n">
        <v>46142</v>
      </c>
      <c r="G530" s="7" t="inlineStr">
        <is>
          <t>JOAN IMAYINNE GALVIS MORENO</t>
        </is>
      </c>
      <c r="H530" s="14" t="n">
        <v>1</v>
      </c>
      <c r="I530" s="15">
        <f>IF(H530="","",H530/2)</f>
        <v/>
      </c>
      <c r="J530" s="7">
        <f>IF(H530="",0,IF(SUMPRODUCT((Seguimientos!$A$2:$A$1013=A530)*(Seguimientos!$F$2:$F$1013=F530)*(Seguimientos!$B$2:$B$1013&gt;B530)*(Seguimientos!$H$2:$H$1013&lt;&gt;""))=0,1,0))</f>
        <v/>
      </c>
      <c r="K530" s="7">
        <f>A530&amp;"|"&amp;B530</f>
        <v/>
      </c>
      <c r="L530" s="13" t="inlineStr"/>
    </row>
    <row r="531">
      <c r="A531" s="7" t="inlineStr">
        <is>
          <t>sgc-2024-11</t>
        </is>
      </c>
      <c r="B531" s="7" t="n">
        <v>1</v>
      </c>
      <c r="C531" s="7" t="inlineStr">
        <is>
          <t>SGC</t>
        </is>
      </c>
      <c r="D531" s="7" t="inlineStr">
        <is>
          <t>2024</t>
        </is>
      </c>
      <c r="E531" s="7" t="n">
        <v>11</v>
      </c>
      <c r="F531" s="8" t="n">
        <v>45777</v>
      </c>
      <c r="G531" s="7" t="inlineStr">
        <is>
          <t>DANIEL EDUARDO SOTO BERNAL</t>
        </is>
      </c>
      <c r="H531" s="14" t="n">
        <v>1</v>
      </c>
      <c r="I531" s="15">
        <f>IF(H531="","",H531/2)</f>
        <v/>
      </c>
      <c r="J531" s="7">
        <f>IF(H531="",0,IF(SUMPRODUCT((Seguimientos!$A$2:$A$1013=A531)*(Seguimientos!$F$2:$F$1013=F531)*(Seguimientos!$B$2:$B$1013&gt;B531)*(Seguimientos!$H$2:$H$1013&lt;&gt;""))=0,1,0))</f>
        <v/>
      </c>
      <c r="K531" s="7">
        <f>A531&amp;"|"&amp;B531</f>
        <v/>
      </c>
      <c r="L531" s="13" t="inlineStr">
        <is>
          <t>ATH Se adjuntan los Proyectos de evaluación de desempeño administrativo y para gestores del conocimiento y el aprendizaje</t>
        </is>
      </c>
    </row>
    <row r="532">
      <c r="A532" s="7" t="inlineStr">
        <is>
          <t>sgc-2024-11</t>
        </is>
      </c>
      <c r="B532" s="7" t="n">
        <v>2</v>
      </c>
      <c r="C532" s="7" t="inlineStr">
        <is>
          <t>SGC</t>
        </is>
      </c>
      <c r="D532" s="7" t="inlineStr">
        <is>
          <t>2024</t>
        </is>
      </c>
      <c r="E532" s="7" t="n">
        <v>11</v>
      </c>
      <c r="F532" s="8" t="n">
        <v>45838</v>
      </c>
      <c r="G532" s="7" t="inlineStr">
        <is>
          <t>DANIEL EDUARDO SOTO BERNAL</t>
        </is>
      </c>
      <c r="H532" s="14" t="n">
        <v>1</v>
      </c>
      <c r="I532" s="15">
        <f>IF(H532="","",H532/2)</f>
        <v/>
      </c>
      <c r="J532" s="7">
        <f>IF(H532="",0,IF(SUMPRODUCT((Seguimientos!$A$2:$A$1013=A532)*(Seguimientos!$F$2:$F$1013=F532)*(Seguimientos!$B$2:$B$1013&gt;B532)*(Seguimientos!$H$2:$H$1013&lt;&gt;""))=0,1,0))</f>
        <v/>
      </c>
      <c r="K532" s="7">
        <f>A532&amp;"|"&amp;B532</f>
        <v/>
      </c>
      <c r="L532" s="13" t="inlineStr">
        <is>
          <t>EN TÉRMINOS DE EJECUCIÓN..</t>
        </is>
      </c>
    </row>
    <row r="533">
      <c r="A533" s="7" t="inlineStr">
        <is>
          <t>sgc-2024-11</t>
        </is>
      </c>
      <c r="B533" s="7" t="n">
        <v>3</v>
      </c>
      <c r="C533" s="7" t="inlineStr">
        <is>
          <t>SGC</t>
        </is>
      </c>
      <c r="D533" s="7" t="inlineStr">
        <is>
          <t>2024</t>
        </is>
      </c>
      <c r="E533" s="7" t="n">
        <v>11</v>
      </c>
      <c r="F533" s="8" t="n">
        <v>45930</v>
      </c>
      <c r="G533" s="7" t="inlineStr">
        <is>
          <t>JOAN IMAYINNE GALVIS MORENO</t>
        </is>
      </c>
      <c r="H533" s="14" t="n">
        <v>1</v>
      </c>
      <c r="I533" s="15">
        <f>IF(H533="","",H533/2)</f>
        <v/>
      </c>
      <c r="J533" s="7">
        <f>IF(H533="",0,IF(SUMPRODUCT((Seguimientos!$A$2:$A$1013=A533)*(Seguimientos!$F$2:$F$1013=F533)*(Seguimientos!$B$2:$B$1013&gt;B533)*(Seguimientos!$H$2:$H$1013&lt;&gt;""))=0,1,0))</f>
        <v/>
      </c>
      <c r="K533" s="7">
        <f>A533&amp;"|"&amp;B533</f>
        <v/>
      </c>
      <c r="L533" s="13" t="inlineStr">
        <is>
          <t>Se presentan documentos borradores: - Política de Traslados - Proyecto de Evaluación Administrativos MEDIT - Evaluación Docente Pendiente de validación. EN SEGUIMIENTO. Se requiere definición de ruta para la aprobación.</t>
        </is>
      </c>
    </row>
    <row r="534">
      <c r="A534" s="7" t="inlineStr">
        <is>
          <t>sgc-2024-11</t>
        </is>
      </c>
      <c r="B534" s="7" t="n">
        <v>4</v>
      </c>
      <c r="C534" s="7" t="inlineStr">
        <is>
          <t>SGC</t>
        </is>
      </c>
      <c r="D534" s="7" t="inlineStr">
        <is>
          <t>2024</t>
        </is>
      </c>
      <c r="E534" s="7" t="n">
        <v>11</v>
      </c>
      <c r="F534" s="8" t="n">
        <v>46021</v>
      </c>
      <c r="G534" s="7" t="inlineStr">
        <is>
          <t>JOAN IMAYINNE GALVIS MORENO</t>
        </is>
      </c>
      <c r="H534" s="14" t="n">
        <v>1</v>
      </c>
      <c r="I534" s="15">
        <f>IF(H534="","",H534/2)</f>
        <v/>
      </c>
      <c r="J534" s="7">
        <f>IF(H534="",0,IF(SUMPRODUCT((Seguimientos!$A$2:$A$1013=A534)*(Seguimientos!$F$2:$F$1013=F534)*(Seguimientos!$B$2:$B$1013&gt;B534)*(Seguimientos!$H$2:$H$1013&lt;&gt;""))=0,1,0))</f>
        <v/>
      </c>
      <c r="K534" s="7">
        <f>A534&amp;"|"&amp;B534</f>
        <v/>
      </c>
      <c r="L534" s="13" t="inlineStr"/>
    </row>
    <row r="535">
      <c r="A535" s="7" t="inlineStr">
        <is>
          <t>sgc-2024-11</t>
        </is>
      </c>
      <c r="B535" s="7" t="n">
        <v>5</v>
      </c>
      <c r="C535" s="7" t="inlineStr">
        <is>
          <t>SGC</t>
        </is>
      </c>
      <c r="D535" s="7" t="inlineStr">
        <is>
          <t>2024</t>
        </is>
      </c>
      <c r="E535" s="7" t="n">
        <v>11</v>
      </c>
      <c r="F535" s="8" t="n">
        <v>46142</v>
      </c>
      <c r="G535" s="7" t="inlineStr">
        <is>
          <t>JOAN IMAYINNE GALVIS MORENO</t>
        </is>
      </c>
      <c r="H535" s="14" t="n">
        <v>1</v>
      </c>
      <c r="I535" s="15">
        <f>IF(H535="","",H535/2)</f>
        <v/>
      </c>
      <c r="J535" s="7">
        <f>IF(H535="",0,IF(SUMPRODUCT((Seguimientos!$A$2:$A$1013=A535)*(Seguimientos!$F$2:$F$1013=F535)*(Seguimientos!$B$2:$B$1013&gt;B535)*(Seguimientos!$H$2:$H$1013&lt;&gt;""))=0,1,0))</f>
        <v/>
      </c>
      <c r="K535" s="7">
        <f>A535&amp;"|"&amp;B535</f>
        <v/>
      </c>
      <c r="L535" s="13" t="inlineStr"/>
    </row>
    <row r="536">
      <c r="A536" s="7" t="inlineStr">
        <is>
          <t>sgc-2024-11</t>
        </is>
      </c>
      <c r="B536" s="7" t="n">
        <v>6</v>
      </c>
      <c r="C536" s="7" t="inlineStr">
        <is>
          <t>SGC</t>
        </is>
      </c>
      <c r="D536" s="7" t="inlineStr">
        <is>
          <t>2024</t>
        </is>
      </c>
      <c r="E536" s="7" t="n">
        <v>11</v>
      </c>
      <c r="F536" s="8" t="n">
        <v>46142</v>
      </c>
      <c r="G536" s="7" t="inlineStr">
        <is>
          <t>JOAN IMAYINNE GALVIS MORENO</t>
        </is>
      </c>
      <c r="H536" s="14" t="n">
        <v>1</v>
      </c>
      <c r="I536" s="15">
        <f>IF(H536="","",H536/2)</f>
        <v/>
      </c>
      <c r="J536" s="7">
        <f>IF(H536="",0,IF(SUMPRODUCT((Seguimientos!$A$2:$A$1013=A536)*(Seguimientos!$F$2:$F$1013=F536)*(Seguimientos!$B$2:$B$1013&gt;B536)*(Seguimientos!$H$2:$H$1013&lt;&gt;""))=0,1,0))</f>
        <v/>
      </c>
      <c r="K536" s="7">
        <f>A536&amp;"|"&amp;B536</f>
        <v/>
      </c>
      <c r="L536" s="13" t="inlineStr"/>
    </row>
    <row r="537">
      <c r="A537" s="7" t="inlineStr">
        <is>
          <t>sgc-2025-1</t>
        </is>
      </c>
      <c r="B537" s="7" t="n">
        <v>1</v>
      </c>
      <c r="C537" s="7" t="inlineStr">
        <is>
          <t>SGC</t>
        </is>
      </c>
      <c r="D537" s="7" t="inlineStr">
        <is>
          <t>2025</t>
        </is>
      </c>
      <c r="E537" s="7" t="n">
        <v>1</v>
      </c>
      <c r="F537" s="8" t="n">
        <v>46021</v>
      </c>
      <c r="G537" s="7" t="inlineStr">
        <is>
          <t>JOAN IMAYINNE GALVIS MORENO</t>
        </is>
      </c>
      <c r="H537" s="14" t="n">
        <v>1.5</v>
      </c>
      <c r="I537" s="15">
        <f>IF(H537="","",H537/2)</f>
        <v/>
      </c>
      <c r="J537" s="7">
        <f>IF(H537="",0,IF(SUMPRODUCT((Seguimientos!$A$2:$A$1013=A537)*(Seguimientos!$F$2:$F$1013=F537)*(Seguimientos!$B$2:$B$1013&gt;B537)*(Seguimientos!$H$2:$H$1013&lt;&gt;""))=0,1,0))</f>
        <v/>
      </c>
      <c r="K537" s="7">
        <f>A537&amp;"|"&amp;B537</f>
        <v/>
      </c>
      <c r="L537" s="13" t="inlineStr">
        <is>
          <t>El proceso de actualización de las Tablas de Retención Documental (TRD) y Tablas de Valoración Documental (TVD) evidencia un avance significativo en su nivel de madurez institucional. Actualmente, estos instrumentos archivísticos cuentan con la aprobación del Sistema de Aseguramiento de la Calidad (SAC) y se encuentran en etapa de formalización de los actos administrativos requeridos para su presentación ante el Consejo Departamental de Archivos, instancia encargada de su respectiva convalidación. Este avance constituye un fortalecimiento importante del Sistema de Gestión Documental de la Universidad de Cundinamarca, al contribuir al cumplimiento de la normatividad archivística vigente, mejorar los mecanismos de organización y administración documental, y garantizar la adecuada conservación, acceso, transparencia y respaldo jurídico de la información institucional.</t>
        </is>
      </c>
    </row>
    <row r="538">
      <c r="A538" s="7" t="inlineStr">
        <is>
          <t>sgc-2025-1</t>
        </is>
      </c>
      <c r="B538" s="7" t="n">
        <v>2</v>
      </c>
      <c r="C538" s="7" t="inlineStr">
        <is>
          <t>SGC</t>
        </is>
      </c>
      <c r="D538" s="7" t="inlineStr">
        <is>
          <t>2025</t>
        </is>
      </c>
      <c r="E538" s="7" t="n">
        <v>1</v>
      </c>
      <c r="F538" s="8" t="n">
        <v>46142</v>
      </c>
      <c r="G538" s="7" t="inlineStr">
        <is>
          <t>JOAN IMAYINNE GALVIS MORENO</t>
        </is>
      </c>
      <c r="H538" s="14" t="n">
        <v>1.5</v>
      </c>
      <c r="I538" s="15">
        <f>IF(H538="","",H538/2)</f>
        <v/>
      </c>
      <c r="J538" s="7">
        <f>IF(H538="",0,IF(SUMPRODUCT((Seguimientos!$A$2:$A$1013=A538)*(Seguimientos!$F$2:$F$1013=F538)*(Seguimientos!$B$2:$B$1013&gt;B538)*(Seguimientos!$H$2:$H$1013&lt;&gt;""))=0,1,0))</f>
        <v/>
      </c>
      <c r="K538" s="7">
        <f>A538&amp;"|"&amp;B538</f>
        <v/>
      </c>
      <c r="L538" s="13" t="inlineStr">
        <is>
          <t>No se remite informacion</t>
        </is>
      </c>
    </row>
    <row r="539">
      <c r="A539" s="7" t="inlineStr">
        <is>
          <t>sgc-2025-1</t>
        </is>
      </c>
      <c r="B539" s="7" t="n">
        <v>3</v>
      </c>
      <c r="C539" s="7" t="inlineStr">
        <is>
          <t>SGC</t>
        </is>
      </c>
      <c r="D539" s="7" t="inlineStr">
        <is>
          <t>2025</t>
        </is>
      </c>
      <c r="E539" s="7" t="n">
        <v>1</v>
      </c>
      <c r="F539" s="8" t="n">
        <v>46203</v>
      </c>
      <c r="G539" s="7" t="inlineStr">
        <is>
          <t>JOAN IMAYINNE GALVIS MORENO</t>
        </is>
      </c>
      <c r="H539" s="14" t="n">
        <v>2</v>
      </c>
      <c r="I539" s="15">
        <f>IF(H539="","",H539/2)</f>
        <v/>
      </c>
      <c r="J539" s="7">
        <f>IF(H539="",0,IF(SUMPRODUCT((Seguimientos!$A$2:$A$1013=A539)*(Seguimientos!$F$2:$F$1013=F539)*(Seguimientos!$B$2:$B$1013&gt;B539)*(Seguimientos!$H$2:$H$1013&lt;&gt;""))=0,1,0))</f>
        <v/>
      </c>
      <c r="K539" s="7">
        <f>A539&amp;"|"&amp;B539</f>
        <v/>
      </c>
      <c r="L539" s="13" t="inlineStr">
        <is>
          <t>Desde la Oficina de Archivo y Correspondencia se identifico que efectivamente se realizo la actualizacion de las tablas de valoracion documental, la cua ademas se</t>
        </is>
      </c>
    </row>
    <row r="540">
      <c r="A540" s="7" t="inlineStr">
        <is>
          <t>sgc-2025-1</t>
        </is>
      </c>
      <c r="B540" s="7" t="n">
        <v>4</v>
      </c>
      <c r="C540" s="7" t="inlineStr">
        <is>
          <t>SGC</t>
        </is>
      </c>
      <c r="D540" s="7" t="inlineStr">
        <is>
          <t>2025</t>
        </is>
      </c>
      <c r="E540" s="7" t="n">
        <v>1</v>
      </c>
      <c r="F540" s="8" t="n">
        <v>46295</v>
      </c>
      <c r="G540" s="7" t="inlineStr">
        <is>
          <t>JOAN IMAYINNE GALVIS MORENO</t>
        </is>
      </c>
      <c r="H540" s="14" t="n">
        <v>2</v>
      </c>
      <c r="I540" s="15">
        <f>IF(H540="","",H540/2)</f>
        <v/>
      </c>
      <c r="J540" s="7">
        <f>IF(H540="",0,IF(SUMPRODUCT((Seguimientos!$A$2:$A$1013=A540)*(Seguimientos!$F$2:$F$1013=F540)*(Seguimientos!$B$2:$B$1013&gt;B540)*(Seguimientos!$H$2:$H$1013&lt;&gt;""))=0,1,0))</f>
        <v/>
      </c>
      <c r="K540" s="7">
        <f>A540&amp;"|"&amp;B540</f>
        <v/>
      </c>
      <c r="L540" s="13" t="inlineStr">
        <is>
          <t>CUMPLIDO</t>
        </is>
      </c>
    </row>
    <row r="541">
      <c r="A541" s="7" t="inlineStr">
        <is>
          <t>sgc-2025-2</t>
        </is>
      </c>
      <c r="B541" s="7" t="n">
        <v>1</v>
      </c>
      <c r="C541" s="7" t="inlineStr">
        <is>
          <t>SGC</t>
        </is>
      </c>
      <c r="D541" s="7" t="inlineStr">
        <is>
          <t>2025</t>
        </is>
      </c>
      <c r="E541" s="7" t="n">
        <v>2</v>
      </c>
      <c r="F541" s="8" t="n">
        <v>46021</v>
      </c>
      <c r="G541" s="7" t="inlineStr">
        <is>
          <t>JOAN IMAYINNE GALVIS MORENO</t>
        </is>
      </c>
      <c r="H541" s="14" t="n">
        <v>0</v>
      </c>
      <c r="I541" s="15">
        <f>IF(H541="","",H541/2)</f>
        <v/>
      </c>
      <c r="J541" s="7">
        <f>IF(H541="",0,IF(SUMPRODUCT((Seguimientos!$A$2:$A$1013=A541)*(Seguimientos!$F$2:$F$1013=F541)*(Seguimientos!$B$2:$B$1013&gt;B541)*(Seguimientos!$H$2:$H$1013&lt;&gt;""))=0,1,0))</f>
        <v/>
      </c>
      <c r="K541" s="7">
        <f>A541&amp;"|"&amp;B541</f>
        <v/>
      </c>
      <c r="L541" s="13" t="inlineStr">
        <is>
          <t>No se remite informacion</t>
        </is>
      </c>
    </row>
    <row r="542">
      <c r="A542" s="7" t="inlineStr">
        <is>
          <t>sgc-2025-2</t>
        </is>
      </c>
      <c r="B542" s="7" t="n">
        <v>2</v>
      </c>
      <c r="C542" s="7" t="inlineStr">
        <is>
          <t>SGC</t>
        </is>
      </c>
      <c r="D542" s="7" t="inlineStr">
        <is>
          <t>2025</t>
        </is>
      </c>
      <c r="E542" s="7" t="n">
        <v>2</v>
      </c>
      <c r="F542" s="8" t="n">
        <v>46142</v>
      </c>
      <c r="G542" s="7" t="inlineStr">
        <is>
          <t>JOAN IMAYINNE GALVIS MORENO</t>
        </is>
      </c>
      <c r="H542" s="14" t="n">
        <v>0</v>
      </c>
      <c r="I542" s="15">
        <f>IF(H542="","",H542/2)</f>
        <v/>
      </c>
      <c r="J542" s="7">
        <f>IF(H542="",0,IF(SUMPRODUCT((Seguimientos!$A$2:$A$1013=A542)*(Seguimientos!$F$2:$F$1013=F542)*(Seguimientos!$B$2:$B$1013&gt;B542)*(Seguimientos!$H$2:$H$1013&lt;&gt;""))=0,1,0))</f>
        <v/>
      </c>
      <c r="K542" s="7">
        <f>A542&amp;"|"&amp;B542</f>
        <v/>
      </c>
      <c r="L542" s="13" t="inlineStr">
        <is>
          <t>No se remite informacion</t>
        </is>
      </c>
    </row>
    <row r="543">
      <c r="A543" s="7" t="inlineStr">
        <is>
          <t>sgc-2025-2</t>
        </is>
      </c>
      <c r="B543" s="7" t="n">
        <v>3</v>
      </c>
      <c r="C543" s="7" t="inlineStr">
        <is>
          <t>SGC</t>
        </is>
      </c>
      <c r="D543" s="7" t="inlineStr">
        <is>
          <t>2025</t>
        </is>
      </c>
      <c r="E543" s="7" t="n">
        <v>2</v>
      </c>
      <c r="F543" s="8" t="n">
        <v>46203</v>
      </c>
      <c r="G543" s="7" t="inlineStr">
        <is>
          <t>JOAN IMAYINNE GALVIS MORENO</t>
        </is>
      </c>
      <c r="H543" s="14" t="n">
        <v>0</v>
      </c>
      <c r="I543" s="15">
        <f>IF(H543="","",H543/2)</f>
        <v/>
      </c>
      <c r="J543" s="7">
        <f>IF(H543="",0,IF(SUMPRODUCT((Seguimientos!$A$2:$A$1013=A543)*(Seguimientos!$F$2:$F$1013=F543)*(Seguimientos!$B$2:$B$1013&gt;B543)*(Seguimientos!$H$2:$H$1013&lt;&gt;""))=0,1,0))</f>
        <v/>
      </c>
      <c r="K543" s="7">
        <f>A543&amp;"|"&amp;B543</f>
        <v/>
      </c>
      <c r="L543" s="13" t="inlineStr">
        <is>
          <t>No se remite informacion</t>
        </is>
      </c>
    </row>
    <row r="544">
      <c r="A544" s="7" t="inlineStr">
        <is>
          <t>sgc-2025-2</t>
        </is>
      </c>
      <c r="B544" s="7" t="n">
        <v>4</v>
      </c>
      <c r="C544" s="7" t="inlineStr">
        <is>
          <t>SGC</t>
        </is>
      </c>
      <c r="D544" s="7" t="inlineStr">
        <is>
          <t>2025</t>
        </is>
      </c>
      <c r="E544" s="7" t="n">
        <v>2</v>
      </c>
      <c r="F544" s="8" t="n">
        <v>46295</v>
      </c>
      <c r="G544" s="7" t="inlineStr">
        <is>
          <t>JOAN IMAYINNE GALVIS MORENO</t>
        </is>
      </c>
      <c r="H544" s="14" t="n">
        <v>0</v>
      </c>
      <c r="I544" s="15">
        <f>IF(H544="","",H544/2)</f>
        <v/>
      </c>
      <c r="J544" s="7">
        <f>IF(H544="",0,IF(SUMPRODUCT((Seguimientos!$A$2:$A$1013=A544)*(Seguimientos!$F$2:$F$1013=F544)*(Seguimientos!$B$2:$B$1013&gt;B544)*(Seguimientos!$H$2:$H$1013&lt;&gt;""))=0,1,0))</f>
        <v/>
      </c>
      <c r="K544" s="7">
        <f>A544&amp;"|"&amp;B544</f>
        <v/>
      </c>
      <c r="L544" s="13" t="inlineStr">
        <is>
          <t>No se remite informacion</t>
        </is>
      </c>
    </row>
    <row r="545">
      <c r="A545" s="7" t="inlineStr">
        <is>
          <t>sgc-2025-3</t>
        </is>
      </c>
      <c r="B545" s="7" t="n">
        <v>1</v>
      </c>
      <c r="C545" s="7" t="inlineStr">
        <is>
          <t>SGC</t>
        </is>
      </c>
      <c r="D545" s="7" t="inlineStr">
        <is>
          <t>2025</t>
        </is>
      </c>
      <c r="E545" s="7" t="n">
        <v>3</v>
      </c>
      <c r="F545" s="8" t="n">
        <v>46021</v>
      </c>
      <c r="G545" s="7" t="inlineStr">
        <is>
          <t>JOAN IMAYINNE GALVIS MORENO</t>
        </is>
      </c>
      <c r="H545" s="14" t="n">
        <v>1</v>
      </c>
      <c r="I545" s="15">
        <f>IF(H545="","",H545/2)</f>
        <v/>
      </c>
      <c r="J545" s="7">
        <f>IF(H545="",0,IF(SUMPRODUCT((Seguimientos!$A$2:$A$1013=A545)*(Seguimientos!$F$2:$F$1013=F545)*(Seguimientos!$B$2:$B$1013&gt;B545)*(Seguimientos!$H$2:$H$1013&lt;&gt;""))=0,1,0))</f>
        <v/>
      </c>
      <c r="K545" s="7">
        <f>A545&amp;"|"&amp;B545</f>
        <v/>
      </c>
      <c r="L545" s="13" t="inlineStr">
        <is>
          <t>Se evidencia la existencia de un cronograma para la elaboración de las matrices de riesgos fiscales; no obstante, a la fecha aún no se cuenta con la aprobación de las mismas.</t>
        </is>
      </c>
    </row>
    <row r="546">
      <c r="A546" s="7" t="inlineStr">
        <is>
          <t>sgc-2025-3</t>
        </is>
      </c>
      <c r="B546" s="7" t="n">
        <v>2</v>
      </c>
      <c r="C546" s="7" t="inlineStr">
        <is>
          <t>SGC</t>
        </is>
      </c>
      <c r="D546" s="7" t="inlineStr">
        <is>
          <t>2025</t>
        </is>
      </c>
      <c r="E546" s="7" t="n">
        <v>3</v>
      </c>
      <c r="F546" s="8" t="n">
        <v>46142</v>
      </c>
      <c r="G546" s="7" t="inlineStr">
        <is>
          <t>JOAN IMAYINNE GALVIS MORENO</t>
        </is>
      </c>
      <c r="H546" s="14" t="n">
        <v>1</v>
      </c>
      <c r="I546" s="15">
        <f>IF(H546="","",H546/2)</f>
        <v/>
      </c>
      <c r="J546" s="7">
        <f>IF(H546="",0,IF(SUMPRODUCT((Seguimientos!$A$2:$A$1013=A546)*(Seguimientos!$F$2:$F$1013=F546)*(Seguimientos!$B$2:$B$1013&gt;B546)*(Seguimientos!$H$2:$H$1013&lt;&gt;""))=0,1,0))</f>
        <v/>
      </c>
      <c r="K546" s="7">
        <f>A546&amp;"|"&amp;B546</f>
        <v/>
      </c>
      <c r="L546" s="13" t="inlineStr">
        <is>
          <t>No se remite informacion</t>
        </is>
      </c>
    </row>
    <row r="547">
      <c r="A547" s="7" t="inlineStr">
        <is>
          <t>sgc-2025-3</t>
        </is>
      </c>
      <c r="B547" s="7" t="n">
        <v>3</v>
      </c>
      <c r="C547" s="7" t="inlineStr">
        <is>
          <t>SGC</t>
        </is>
      </c>
      <c r="D547" s="7" t="inlineStr">
        <is>
          <t>2025</t>
        </is>
      </c>
      <c r="E547" s="7" t="n">
        <v>3</v>
      </c>
      <c r="F547" s="8" t="n">
        <v>46203</v>
      </c>
      <c r="G547" s="7" t="inlineStr">
        <is>
          <t>JOAN IMAYINNE GALVIS MORENO</t>
        </is>
      </c>
      <c r="H547" s="14" t="n">
        <v>1</v>
      </c>
      <c r="I547" s="15">
        <f>IF(H547="","",H547/2)</f>
        <v/>
      </c>
      <c r="J547" s="7">
        <f>IF(H547="",0,IF(SUMPRODUCT((Seguimientos!$A$2:$A$1013=A547)*(Seguimientos!$F$2:$F$1013=F547)*(Seguimientos!$B$2:$B$1013&gt;B547)*(Seguimientos!$H$2:$H$1013&lt;&gt;""))=0,1,0))</f>
        <v/>
      </c>
      <c r="K547" s="7">
        <f>A547&amp;"|"&amp;B547</f>
        <v/>
      </c>
      <c r="L547" s="13" t="inlineStr">
        <is>
          <t>No se remite informacion</t>
        </is>
      </c>
    </row>
    <row r="548">
      <c r="A548" s="7" t="inlineStr">
        <is>
          <t>sgc-2025-3</t>
        </is>
      </c>
      <c r="B548" s="7" t="n">
        <v>4</v>
      </c>
      <c r="C548" s="7" t="inlineStr">
        <is>
          <t>SGC</t>
        </is>
      </c>
      <c r="D548" s="7" t="inlineStr">
        <is>
          <t>2025</t>
        </is>
      </c>
      <c r="E548" s="7" t="n">
        <v>3</v>
      </c>
      <c r="F548" s="8" t="n">
        <v>46295</v>
      </c>
      <c r="G548" s="7" t="inlineStr">
        <is>
          <t>JOAN IMAYINNE GALVIS MORENO</t>
        </is>
      </c>
      <c r="H548" s="14" t="n">
        <v>2</v>
      </c>
      <c r="I548" s="15">
        <f>IF(H548="","",H548/2)</f>
        <v/>
      </c>
      <c r="J548" s="7">
        <f>IF(H548="",0,IF(SUMPRODUCT((Seguimientos!$A$2:$A$1013=A548)*(Seguimientos!$F$2:$F$1013=F548)*(Seguimientos!$B$2:$B$1013&gt;B548)*(Seguimientos!$H$2:$H$1013&lt;&gt;""))=0,1,0))</f>
        <v/>
      </c>
      <c r="K548" s="7">
        <f>A548&amp;"|"&amp;B548</f>
        <v/>
      </c>
      <c r="L548" s="13" t="inlineStr">
        <is>
          <t>Se realizó la identificación, análisis y consolidación de los riesgos fiscales de la Dirección de Planeación Institucional, la Dirección de Bienes y Servicios y la Dirección Financiera, integrándolos a los Riesgos Institucionales para la vigencia 2025. Asimismo, la información consolidada fue publicada en el micrositio de la Dirección de Planeación Institucional, garantizando su consulta y acceso por parte de los grupos de interés.</t>
        </is>
      </c>
    </row>
    <row r="549">
      <c r="A549" s="7" t="inlineStr">
        <is>
          <t>sgc-2025-4</t>
        </is>
      </c>
      <c r="B549" s="7" t="n">
        <v>1</v>
      </c>
      <c r="C549" s="7" t="inlineStr">
        <is>
          <t>SGC</t>
        </is>
      </c>
      <c r="D549" s="7" t="inlineStr">
        <is>
          <t>2025</t>
        </is>
      </c>
      <c r="E549" s="7" t="n">
        <v>4</v>
      </c>
      <c r="F549" s="8" t="n">
        <v>46021</v>
      </c>
      <c r="G549" s="7" t="inlineStr">
        <is>
          <t>JOAN IMAYINNE GALVIS MORENO</t>
        </is>
      </c>
      <c r="H549" s="14" t="n">
        <v>0</v>
      </c>
      <c r="I549" s="15">
        <f>IF(H549="","",H549/2)</f>
        <v/>
      </c>
      <c r="J549" s="7">
        <f>IF(H549="",0,IF(SUMPRODUCT((Seguimientos!$A$2:$A$1013=A549)*(Seguimientos!$F$2:$F$1013=F549)*(Seguimientos!$B$2:$B$1013&gt;B549)*(Seguimientos!$H$2:$H$1013&lt;&gt;""))=0,1,0))</f>
        <v/>
      </c>
      <c r="K549" s="7">
        <f>A549&amp;"|"&amp;B549</f>
        <v/>
      </c>
      <c r="L549" s="13" t="inlineStr">
        <is>
          <t>En el fortalecimiento del Sistema Interno de Aseguramiento de la Calidad (SIAC), mediante la formulación e implementación del “Plan de trabajo para el diagnóstico y fortalecimiento del SIAC”. Dicho plan contempla etapas, actividades, responsables y tiempos estimados de ejecución orientados al diagnóstico, actualización y fortalecimiento del sistema, en concordancia con los lineamientos establecidos en el Acuerdo CESU 01 de 2025 y el modelo institucional vigente. Así mismo, se informa por parte de la Direccion de Autoevaluacion y Acreditacion que el mencionado plan fue presentado y aprobado por el Consejo Académico en el mes de febrero de la presente vigencia, dando inicio a su despliegue institucional y a la ejecución de las acciones definidas. Actualmente, el plan se encuentra en fase de implementación; por lo tanto, se comprometen a dar avance cada una de las etapas programadas y se consoliden los productos previstos, se continuará reportando el nivel de avance, cumplimiento e impacto generado, anexando los respectivos soportes documentales que evidencien la ejecución de las actividades desarrolladas.</t>
        </is>
      </c>
    </row>
    <row r="550">
      <c r="A550" s="7" t="inlineStr">
        <is>
          <t>sgc-2025-4</t>
        </is>
      </c>
      <c r="B550" s="7" t="n">
        <v>2</v>
      </c>
      <c r="C550" s="7" t="inlineStr">
        <is>
          <t>SGC</t>
        </is>
      </c>
      <c r="D550" s="7" t="inlineStr">
        <is>
          <t>2025</t>
        </is>
      </c>
      <c r="E550" s="7" t="n">
        <v>4</v>
      </c>
      <c r="F550" s="8" t="n">
        <v>46142</v>
      </c>
      <c r="G550" s="7" t="inlineStr">
        <is>
          <t>JOAN IMAYINNE GALVIS MORENO</t>
        </is>
      </c>
      <c r="H550" s="14" t="n">
        <v>0</v>
      </c>
      <c r="I550" s="15">
        <f>IF(H550="","",H550/2)</f>
        <v/>
      </c>
      <c r="J550" s="7">
        <f>IF(H550="",0,IF(SUMPRODUCT((Seguimientos!$A$2:$A$1013=A550)*(Seguimientos!$F$2:$F$1013=F550)*(Seguimientos!$B$2:$B$1013&gt;B550)*(Seguimientos!$H$2:$H$1013&lt;&gt;""))=0,1,0))</f>
        <v/>
      </c>
      <c r="K550" s="7">
        <f>A550&amp;"|"&amp;B550</f>
        <v/>
      </c>
      <c r="L550" s="13" t="inlineStr">
        <is>
          <t>No se remite informacion</t>
        </is>
      </c>
    </row>
    <row r="551">
      <c r="A551" s="7" t="inlineStr">
        <is>
          <t>sgc-2025-4</t>
        </is>
      </c>
      <c r="B551" s="7" t="n">
        <v>3</v>
      </c>
      <c r="C551" s="7" t="inlineStr">
        <is>
          <t>SGC</t>
        </is>
      </c>
      <c r="D551" s="7" t="inlineStr">
        <is>
          <t>2025</t>
        </is>
      </c>
      <c r="E551" s="7" t="n">
        <v>4</v>
      </c>
      <c r="F551" s="8" t="n">
        <v>46203</v>
      </c>
      <c r="G551" s="7" t="inlineStr">
        <is>
          <t>JOAN IMAYINNE GALVIS MORENO</t>
        </is>
      </c>
      <c r="H551" s="14" t="n">
        <v>0</v>
      </c>
      <c r="I551" s="15">
        <f>IF(H551="","",H551/2)</f>
        <v/>
      </c>
      <c r="J551" s="7">
        <f>IF(H551="",0,IF(SUMPRODUCT((Seguimientos!$A$2:$A$1013=A551)*(Seguimientos!$F$2:$F$1013=F551)*(Seguimientos!$B$2:$B$1013&gt;B551)*(Seguimientos!$H$2:$H$1013&lt;&gt;""))=0,1,0))</f>
        <v/>
      </c>
      <c r="K551" s="7">
        <f>A551&amp;"|"&amp;B551</f>
        <v/>
      </c>
      <c r="L551" s="13" t="inlineStr">
        <is>
          <t>No se remite informacion</t>
        </is>
      </c>
    </row>
    <row r="552">
      <c r="A552" s="7" t="inlineStr">
        <is>
          <t>sgc-2025-4</t>
        </is>
      </c>
      <c r="B552" s="7" t="n">
        <v>4</v>
      </c>
      <c r="C552" s="7" t="inlineStr">
        <is>
          <t>SGC</t>
        </is>
      </c>
      <c r="D552" s="7" t="inlineStr">
        <is>
          <t>2025</t>
        </is>
      </c>
      <c r="E552" s="7" t="n">
        <v>4</v>
      </c>
      <c r="F552" s="8" t="n">
        <v>46295</v>
      </c>
      <c r="G552" s="7" t="inlineStr">
        <is>
          <t>JOAN IMAYINNE GALVIS MORENO</t>
        </is>
      </c>
      <c r="H552" s="14" t="n">
        <v>0</v>
      </c>
      <c r="I552" s="15">
        <f>IF(H552="","",H552/2)</f>
        <v/>
      </c>
      <c r="J552" s="7">
        <f>IF(H552="",0,IF(SUMPRODUCT((Seguimientos!$A$2:$A$1013=A552)*(Seguimientos!$F$2:$F$1013=F552)*(Seguimientos!$B$2:$B$1013&gt;B552)*(Seguimientos!$H$2:$H$1013&lt;&gt;""))=0,1,0))</f>
        <v/>
      </c>
      <c r="K552" s="7">
        <f>A552&amp;"|"&amp;B552</f>
        <v/>
      </c>
      <c r="L552" s="13" t="inlineStr">
        <is>
          <t>No se remite informacion</t>
        </is>
      </c>
    </row>
    <row r="553">
      <c r="A553" s="7" t="inlineStr">
        <is>
          <t>sgc-2025-5</t>
        </is>
      </c>
      <c r="B553" s="7" t="n">
        <v>1</v>
      </c>
      <c r="C553" s="7" t="inlineStr">
        <is>
          <t>SGC</t>
        </is>
      </c>
      <c r="D553" s="7" t="inlineStr">
        <is>
          <t>2025</t>
        </is>
      </c>
      <c r="E553" s="7" t="n">
        <v>5</v>
      </c>
      <c r="F553" s="8" t="n">
        <v>46021</v>
      </c>
      <c r="G553" s="7" t="inlineStr">
        <is>
          <t>JOAN IMAYINNE GALVIS MORENO</t>
        </is>
      </c>
      <c r="H553" s="14" t="n">
        <v>0</v>
      </c>
      <c r="I553" s="15">
        <f>IF(H553="","",H553/2)</f>
        <v/>
      </c>
      <c r="J553" s="7">
        <f>IF(H553="",0,IF(SUMPRODUCT((Seguimientos!$A$2:$A$1013=A553)*(Seguimientos!$F$2:$F$1013=F553)*(Seguimientos!$B$2:$B$1013&gt;B553)*(Seguimientos!$H$2:$H$1013&lt;&gt;""))=0,1,0))</f>
        <v/>
      </c>
      <c r="K553" s="7">
        <f>A553&amp;"|"&amp;B553</f>
        <v/>
      </c>
      <c r="L553" s="13" t="inlineStr">
        <is>
          <t>No se remite informacion</t>
        </is>
      </c>
    </row>
    <row r="554">
      <c r="A554" s="7" t="inlineStr">
        <is>
          <t>sgc-2025-5</t>
        </is>
      </c>
      <c r="B554" s="7" t="n">
        <v>2</v>
      </c>
      <c r="C554" s="7" t="inlineStr">
        <is>
          <t>SGC</t>
        </is>
      </c>
      <c r="D554" s="7" t="inlineStr">
        <is>
          <t>2025</t>
        </is>
      </c>
      <c r="E554" s="7" t="n">
        <v>5</v>
      </c>
      <c r="F554" s="8" t="n">
        <v>46142</v>
      </c>
      <c r="G554" s="7" t="inlineStr">
        <is>
          <t>JOAN IMAYINNE GALVIS MORENO</t>
        </is>
      </c>
      <c r="H554" s="14" t="n">
        <v>1.5</v>
      </c>
      <c r="I554" s="15">
        <f>IF(H554="","",H554/2)</f>
        <v/>
      </c>
      <c r="J554" s="7">
        <f>IF(H554="",0,IF(SUMPRODUCT((Seguimientos!$A$2:$A$1013=A554)*(Seguimientos!$F$2:$F$1013=F554)*(Seguimientos!$B$2:$B$1013&gt;B554)*(Seguimientos!$H$2:$H$1013&lt;&gt;""))=0,1,0))</f>
        <v/>
      </c>
      <c r="K554" s="7">
        <f>A554&amp;"|"&amp;B554</f>
        <v/>
      </c>
      <c r="L554" s="13" t="inlineStr">
        <is>
          <t>Se identifica mediante informe en donde en la acogida a los estudiantes se realiza socializacion sobre las PQR, los medios por los cuales se realizan, utilizando medios visuales, se sugiere mostrar como se socializa este tema a los administrativos.</t>
        </is>
      </c>
    </row>
    <row r="555">
      <c r="A555" s="7" t="inlineStr">
        <is>
          <t>sgc-2025-5</t>
        </is>
      </c>
      <c r="B555" s="7" t="n">
        <v>3</v>
      </c>
      <c r="C555" s="7" t="inlineStr">
        <is>
          <t>SGC</t>
        </is>
      </c>
      <c r="D555" s="7" t="inlineStr">
        <is>
          <t>2025</t>
        </is>
      </c>
      <c r="E555" s="7" t="n">
        <v>5</v>
      </c>
      <c r="F555" s="8" t="n">
        <v>46203</v>
      </c>
      <c r="G555" s="7" t="inlineStr">
        <is>
          <t>JOAN IMAYINNE GALVIS MORENO</t>
        </is>
      </c>
      <c r="H555" s="14" t="n">
        <v>1.5</v>
      </c>
      <c r="I555" s="15">
        <f>IF(H555="","",H555/2)</f>
        <v/>
      </c>
      <c r="J555" s="7">
        <f>IF(H555="",0,IF(SUMPRODUCT((Seguimientos!$A$2:$A$1013=A555)*(Seguimientos!$F$2:$F$1013=F555)*(Seguimientos!$B$2:$B$1013&gt;B555)*(Seguimientos!$H$2:$H$1013&lt;&gt;""))=0,1,0))</f>
        <v/>
      </c>
      <c r="K555" s="7">
        <f>A555&amp;"|"&amp;B555</f>
        <v/>
      </c>
      <c r="L555" s="13" t="inlineStr"/>
    </row>
    <row r="556">
      <c r="A556" s="7" t="inlineStr">
        <is>
          <t>sgc-2025-5</t>
        </is>
      </c>
      <c r="B556" s="7" t="n">
        <v>4</v>
      </c>
      <c r="C556" s="7" t="inlineStr">
        <is>
          <t>SGC</t>
        </is>
      </c>
      <c r="D556" s="7" t="inlineStr">
        <is>
          <t>2025</t>
        </is>
      </c>
      <c r="E556" s="7" t="n">
        <v>5</v>
      </c>
      <c r="F556" s="8" t="n">
        <v>46295</v>
      </c>
      <c r="G556" s="7" t="inlineStr">
        <is>
          <t>JOAN IMAYINNE GALVIS MORENO</t>
        </is>
      </c>
      <c r="H556" s="14" t="n">
        <v>1.5</v>
      </c>
      <c r="I556" s="15">
        <f>IF(H556="","",H556/2)</f>
        <v/>
      </c>
      <c r="J556" s="7">
        <f>IF(H556="",0,IF(SUMPRODUCT((Seguimientos!$A$2:$A$1013=A556)*(Seguimientos!$F$2:$F$1013=F556)*(Seguimientos!$B$2:$B$1013&gt;B556)*(Seguimientos!$H$2:$H$1013&lt;&gt;""))=0,1,0))</f>
        <v/>
      </c>
      <c r="K556" s="7">
        <f>A556&amp;"|"&amp;B556</f>
        <v/>
      </c>
      <c r="L556" s="13" t="inlineStr"/>
    </row>
    <row r="557">
      <c r="A557" s="7" t="inlineStr">
        <is>
          <t>sgc-2025-6</t>
        </is>
      </c>
      <c r="B557" s="7" t="n">
        <v>1</v>
      </c>
      <c r="C557" s="7" t="inlineStr">
        <is>
          <t>SGC</t>
        </is>
      </c>
      <c r="D557" s="7" t="inlineStr">
        <is>
          <t>2025</t>
        </is>
      </c>
      <c r="E557" s="7" t="n">
        <v>6</v>
      </c>
      <c r="F557" s="8" t="n">
        <v>46021</v>
      </c>
      <c r="G557" s="7" t="inlineStr">
        <is>
          <t>JOAN IMAYINNE GALVIS MORENO</t>
        </is>
      </c>
      <c r="H557" s="14" t="n">
        <v>0</v>
      </c>
      <c r="I557" s="15">
        <f>IF(H557="","",H557/2)</f>
        <v/>
      </c>
      <c r="J557" s="7">
        <f>IF(H557="",0,IF(SUMPRODUCT((Seguimientos!$A$2:$A$1013=A557)*(Seguimientos!$F$2:$F$1013=F557)*(Seguimientos!$B$2:$B$1013&gt;B557)*(Seguimientos!$H$2:$H$1013&lt;&gt;""))=0,1,0))</f>
        <v/>
      </c>
      <c r="K557" s="7">
        <f>A557&amp;"|"&amp;B557</f>
        <v/>
      </c>
      <c r="L557" s="13" t="inlineStr">
        <is>
          <t>No se remite informacion</t>
        </is>
      </c>
    </row>
    <row r="558">
      <c r="A558" s="7" t="inlineStr">
        <is>
          <t>sgc-2025-6</t>
        </is>
      </c>
      <c r="B558" s="7" t="n">
        <v>2</v>
      </c>
      <c r="C558" s="7" t="inlineStr">
        <is>
          <t>SGC</t>
        </is>
      </c>
      <c r="D558" s="7" t="inlineStr">
        <is>
          <t>2025</t>
        </is>
      </c>
      <c r="E558" s="7" t="n">
        <v>6</v>
      </c>
      <c r="F558" s="8" t="n">
        <v>46142</v>
      </c>
      <c r="G558" s="7" t="inlineStr">
        <is>
          <t>JOAN IMAYINNE GALVIS MORENO</t>
        </is>
      </c>
      <c r="H558" s="14" t="n">
        <v>1</v>
      </c>
      <c r="I558" s="15">
        <f>IF(H558="","",H558/2)</f>
        <v/>
      </c>
      <c r="J558" s="7">
        <f>IF(H558="",0,IF(SUMPRODUCT((Seguimientos!$A$2:$A$1013=A558)*(Seguimientos!$F$2:$F$1013=F558)*(Seguimientos!$B$2:$B$1013&gt;B558)*(Seguimientos!$H$2:$H$1013&lt;&gt;""))=0,1,0))</f>
        <v/>
      </c>
      <c r="K558" s="7">
        <f>A558&amp;"|"&amp;B558</f>
        <v/>
      </c>
      <c r="L558" s="13" t="inlineStr">
        <is>
          <t>se encuentra en proceso de firmas por parte de la Dirección Jurídica (Se adjunta PDF correo electrónico).</t>
        </is>
      </c>
    </row>
    <row r="559">
      <c r="A559" s="7" t="inlineStr">
        <is>
          <t>sgc-2025-6</t>
        </is>
      </c>
      <c r="B559" s="7" t="n">
        <v>3</v>
      </c>
      <c r="C559" s="7" t="inlineStr">
        <is>
          <t>SGC</t>
        </is>
      </c>
      <c r="D559" s="7" t="inlineStr">
        <is>
          <t>2025</t>
        </is>
      </c>
      <c r="E559" s="7" t="n">
        <v>6</v>
      </c>
      <c r="F559" s="8" t="n">
        <v>46203</v>
      </c>
      <c r="G559" s="7" t="inlineStr">
        <is>
          <t>JOAN IMAYINNE GALVIS MORENO</t>
        </is>
      </c>
      <c r="H559" s="14" t="n">
        <v>1</v>
      </c>
      <c r="I559" s="15">
        <f>IF(H559="","",H559/2)</f>
        <v/>
      </c>
      <c r="J559" s="7">
        <f>IF(H559="",0,IF(SUMPRODUCT((Seguimientos!$A$2:$A$1013=A559)*(Seguimientos!$F$2:$F$1013=F559)*(Seguimientos!$B$2:$B$1013&gt;B559)*(Seguimientos!$H$2:$H$1013&lt;&gt;""))=0,1,0))</f>
        <v/>
      </c>
      <c r="K559" s="7">
        <f>A559&amp;"|"&amp;B559</f>
        <v/>
      </c>
      <c r="L559" s="13" t="inlineStr"/>
    </row>
    <row r="560">
      <c r="A560" s="7" t="inlineStr">
        <is>
          <t>sgc-2025-6</t>
        </is>
      </c>
      <c r="B560" s="7" t="n">
        <v>4</v>
      </c>
      <c r="C560" s="7" t="inlineStr">
        <is>
          <t>SGC</t>
        </is>
      </c>
      <c r="D560" s="7" t="inlineStr">
        <is>
          <t>2025</t>
        </is>
      </c>
      <c r="E560" s="7" t="n">
        <v>6</v>
      </c>
      <c r="F560" s="8" t="n">
        <v>46295</v>
      </c>
      <c r="G560" s="7" t="inlineStr">
        <is>
          <t>JOAN IMAYINNE GALVIS MORENO</t>
        </is>
      </c>
      <c r="H560" s="14" t="n">
        <v>1.5</v>
      </c>
      <c r="I560" s="15">
        <f>IF(H560="","",H560/2)</f>
        <v/>
      </c>
      <c r="J560" s="7">
        <f>IF(H560="",0,IF(SUMPRODUCT((Seguimientos!$A$2:$A$1013=A560)*(Seguimientos!$F$2:$F$1013=F560)*(Seguimientos!$B$2:$B$1013&gt;B560)*(Seguimientos!$H$2:$H$1013&lt;&gt;""))=0,1,0))</f>
        <v/>
      </c>
      <c r="K560" s="7">
        <f>A560&amp;"|"&amp;B560</f>
        <v/>
      </c>
      <c r="L560" s="13" t="inlineStr">
        <is>
          <t>La Política del Sistema Integrado de Gestión (SIG) se encuentra en proceso final de formalización, avanzando en la revisión y recolección de firmas para su aprobación. Una vez culminado este proceso, se expedirá la resolución correspondiente que oficializará la política. Posteriormente, se realizará su publicación y divulgación a través de los canales institucionales, con el fin de garantizar su conocimiento y aplicación por parte de los colaboradores y grupos de interés. Este avance permitirá asegurar su validación, formalización e implementación, fortaleciendo la gestión integral, el mejoramiento continuo y el cumplimiento de los objetivos institucionales.</t>
        </is>
      </c>
    </row>
    <row r="561">
      <c r="A561" s="7" t="inlineStr">
        <is>
          <t>sgc-2025-7</t>
        </is>
      </c>
      <c r="B561" s="7" t="n">
        <v>1</v>
      </c>
      <c r="C561" s="7" t="inlineStr">
        <is>
          <t>SGC</t>
        </is>
      </c>
      <c r="D561" s="7" t="inlineStr">
        <is>
          <t>2025</t>
        </is>
      </c>
      <c r="E561" s="7" t="n">
        <v>7</v>
      </c>
      <c r="F561" s="8" t="n">
        <v>46021</v>
      </c>
      <c r="G561" s="7" t="inlineStr">
        <is>
          <t>JOAN IMAYINNE GALVIS MORENO</t>
        </is>
      </c>
      <c r="H561" s="14" t="n">
        <v>0</v>
      </c>
      <c r="I561" s="15">
        <f>IF(H561="","",H561/2)</f>
        <v/>
      </c>
      <c r="J561" s="7">
        <f>IF(H561="",0,IF(SUMPRODUCT((Seguimientos!$A$2:$A$1013=A561)*(Seguimientos!$F$2:$F$1013=F561)*(Seguimientos!$B$2:$B$1013&gt;B561)*(Seguimientos!$H$2:$H$1013&lt;&gt;""))=0,1,0))</f>
        <v/>
      </c>
      <c r="K561" s="7">
        <f>A561&amp;"|"&amp;B561</f>
        <v/>
      </c>
      <c r="L561" s="13" t="inlineStr">
        <is>
          <t>No se remite informacion</t>
        </is>
      </c>
    </row>
    <row r="562">
      <c r="A562" s="7" t="inlineStr">
        <is>
          <t>sgc-2025-7</t>
        </is>
      </c>
      <c r="B562" s="7" t="n">
        <v>2</v>
      </c>
      <c r="C562" s="7" t="inlineStr">
        <is>
          <t>SGC</t>
        </is>
      </c>
      <c r="D562" s="7" t="inlineStr">
        <is>
          <t>2025</t>
        </is>
      </c>
      <c r="E562" s="7" t="n">
        <v>7</v>
      </c>
      <c r="F562" s="8" t="n">
        <v>46142</v>
      </c>
      <c r="G562" s="7" t="inlineStr">
        <is>
          <t>JOAN IMAYINNE GALVIS MORENO</t>
        </is>
      </c>
      <c r="H562" s="14" t="n">
        <v>1</v>
      </c>
      <c r="I562" s="15">
        <f>IF(H562="","",H562/2)</f>
        <v/>
      </c>
      <c r="J562" s="7">
        <f>IF(H562="",0,IF(SUMPRODUCT((Seguimientos!$A$2:$A$1013=A562)*(Seguimientos!$F$2:$F$1013=F562)*(Seguimientos!$B$2:$B$1013&gt;B562)*(Seguimientos!$H$2:$H$1013&lt;&gt;""))=0,1,0))</f>
        <v/>
      </c>
      <c r="K562" s="7">
        <f>A562&amp;"|"&amp;B562</f>
        <v/>
      </c>
      <c r="L562" s="13" t="inlineStr">
        <is>
          <t>Una vez se apruebe y el Lineamiento de los Sistemas de Gestión y poder realizar el cierre y resignificar los objetivos, para la toma de decisiones (Se adjunta PDF correo electrónico).</t>
        </is>
      </c>
    </row>
    <row r="563">
      <c r="A563" s="7" t="inlineStr">
        <is>
          <t>sgc-2025-7</t>
        </is>
      </c>
      <c r="B563" s="7" t="n">
        <v>3</v>
      </c>
      <c r="C563" s="7" t="inlineStr">
        <is>
          <t>SGC</t>
        </is>
      </c>
      <c r="D563" s="7" t="inlineStr">
        <is>
          <t>2025</t>
        </is>
      </c>
      <c r="E563" s="7" t="n">
        <v>7</v>
      </c>
      <c r="F563" s="8" t="n">
        <v>46203</v>
      </c>
      <c r="G563" s="7" t="inlineStr">
        <is>
          <t>JOAN IMAYINNE GALVIS MORENO</t>
        </is>
      </c>
      <c r="H563" s="14" t="n">
        <v>1</v>
      </c>
      <c r="I563" s="15">
        <f>IF(H563="","",H563/2)</f>
        <v/>
      </c>
      <c r="J563" s="7">
        <f>IF(H563="",0,IF(SUMPRODUCT((Seguimientos!$A$2:$A$1013=A563)*(Seguimientos!$F$2:$F$1013=F563)*(Seguimientos!$B$2:$B$1013&gt;B563)*(Seguimientos!$H$2:$H$1013&lt;&gt;""))=0,1,0))</f>
        <v/>
      </c>
      <c r="K563" s="7">
        <f>A563&amp;"|"&amp;B563</f>
        <v/>
      </c>
      <c r="L563" s="13" t="inlineStr"/>
    </row>
    <row r="564">
      <c r="A564" s="7" t="inlineStr">
        <is>
          <t>sgc-2025-7</t>
        </is>
      </c>
      <c r="B564" s="7" t="n">
        <v>4</v>
      </c>
      <c r="C564" s="7" t="inlineStr">
        <is>
          <t>SGC</t>
        </is>
      </c>
      <c r="D564" s="7" t="inlineStr">
        <is>
          <t>2025</t>
        </is>
      </c>
      <c r="E564" s="7" t="n">
        <v>7</v>
      </c>
      <c r="F564" s="8" t="n">
        <v>46295</v>
      </c>
      <c r="G564" s="7" t="inlineStr">
        <is>
          <t>JOAN IMAYINNE GALVIS MORENO</t>
        </is>
      </c>
      <c r="H564" s="14" t="n">
        <v>1.5</v>
      </c>
      <c r="I564" s="15">
        <f>IF(H564="","",H564/2)</f>
        <v/>
      </c>
      <c r="J564" s="7">
        <f>IF(H564="",0,IF(SUMPRODUCT((Seguimientos!$A$2:$A$1013=A564)*(Seguimientos!$F$2:$F$1013=F564)*(Seguimientos!$B$2:$B$1013&gt;B564)*(Seguimientos!$H$2:$H$1013&lt;&gt;""))=0,1,0))</f>
        <v/>
      </c>
      <c r="K564" s="7">
        <f>A564&amp;"|"&amp;B564</f>
        <v/>
      </c>
      <c r="L564" s="13" t="inlineStr">
        <is>
          <t>Una vez se apruebe y el Lineamiento de los Sistemas de Gestión Resolución 096 de 2021 - Intenciones, dirección y objetivos del Sistema de Gestión de la Calidad y poder realizar el cierre y resignificar los objetivos, para la toma de decisiones</t>
        </is>
      </c>
    </row>
    <row r="565">
      <c r="A565" s="7" t="inlineStr">
        <is>
          <t>sgc-2025-8</t>
        </is>
      </c>
      <c r="B565" s="7" t="n">
        <v>1</v>
      </c>
      <c r="C565" s="7" t="inlineStr">
        <is>
          <t>SGC</t>
        </is>
      </c>
      <c r="D565" s="7" t="inlineStr">
        <is>
          <t>2025</t>
        </is>
      </c>
      <c r="E565" s="7" t="n">
        <v>8</v>
      </c>
      <c r="F565" s="8" t="n">
        <v>46021</v>
      </c>
      <c r="G565" s="7" t="inlineStr">
        <is>
          <t>JOAN IMAYINNE GALVIS MORENO</t>
        </is>
      </c>
      <c r="H565" s="14" t="n">
        <v>0</v>
      </c>
      <c r="I565" s="15">
        <f>IF(H565="","",H565/2)</f>
        <v/>
      </c>
      <c r="J565" s="7">
        <f>IF(H565="",0,IF(SUMPRODUCT((Seguimientos!$A$2:$A$1013=A565)*(Seguimientos!$F$2:$F$1013=F565)*(Seguimientos!$B$2:$B$1013&gt;B565)*(Seguimientos!$H$2:$H$1013&lt;&gt;""))=0,1,0))</f>
        <v/>
      </c>
      <c r="K565" s="7">
        <f>A565&amp;"|"&amp;B565</f>
        <v/>
      </c>
      <c r="L565" s="13" t="inlineStr">
        <is>
          <t>No se remite informacion</t>
        </is>
      </c>
    </row>
    <row r="566">
      <c r="A566" s="7" t="inlineStr">
        <is>
          <t>sgc-2025-8</t>
        </is>
      </c>
      <c r="B566" s="7" t="n">
        <v>2</v>
      </c>
      <c r="C566" s="7" t="inlineStr">
        <is>
          <t>SGC</t>
        </is>
      </c>
      <c r="D566" s="7" t="inlineStr">
        <is>
          <t>2025</t>
        </is>
      </c>
      <c r="E566" s="7" t="n">
        <v>8</v>
      </c>
      <c r="F566" s="8" t="n">
        <v>46142</v>
      </c>
      <c r="G566" s="7" t="inlineStr">
        <is>
          <t>JOAN IMAYINNE GALVIS MORENO</t>
        </is>
      </c>
      <c r="H566" s="14" t="n">
        <v>0</v>
      </c>
      <c r="I566" s="15">
        <f>IF(H566="","",H566/2)</f>
        <v/>
      </c>
      <c r="J566" s="7">
        <f>IF(H566="",0,IF(SUMPRODUCT((Seguimientos!$A$2:$A$1013=A566)*(Seguimientos!$F$2:$F$1013=F566)*(Seguimientos!$B$2:$B$1013&gt;B566)*(Seguimientos!$H$2:$H$1013&lt;&gt;""))=0,1,0))</f>
        <v/>
      </c>
      <c r="K566" s="7">
        <f>A566&amp;"|"&amp;B566</f>
        <v/>
      </c>
      <c r="L566" s="13" t="inlineStr">
        <is>
          <t>No se remite informacion</t>
        </is>
      </c>
    </row>
    <row r="567">
      <c r="A567" s="7" t="inlineStr">
        <is>
          <t>sgc-2025-8</t>
        </is>
      </c>
      <c r="B567" s="7" t="n">
        <v>3</v>
      </c>
      <c r="C567" s="7" t="inlineStr">
        <is>
          <t>SGC</t>
        </is>
      </c>
      <c r="D567" s="7" t="inlineStr">
        <is>
          <t>2025</t>
        </is>
      </c>
      <c r="E567" s="7" t="n">
        <v>8</v>
      </c>
      <c r="F567" s="8" t="n">
        <v>46203</v>
      </c>
      <c r="G567" s="7" t="inlineStr">
        <is>
          <t>JOAN IMAYINNE GALVIS MORENO</t>
        </is>
      </c>
      <c r="H567" s="14" t="n">
        <v>0</v>
      </c>
      <c r="I567" s="15">
        <f>IF(H567="","",H567/2)</f>
        <v/>
      </c>
      <c r="J567" s="7">
        <f>IF(H567="",0,IF(SUMPRODUCT((Seguimientos!$A$2:$A$1013=A567)*(Seguimientos!$F$2:$F$1013=F567)*(Seguimientos!$B$2:$B$1013&gt;B567)*(Seguimientos!$H$2:$H$1013&lt;&gt;""))=0,1,0))</f>
        <v/>
      </c>
      <c r="K567" s="7">
        <f>A567&amp;"|"&amp;B567</f>
        <v/>
      </c>
      <c r="L567" s="13" t="inlineStr"/>
    </row>
    <row r="568">
      <c r="A568" s="7" t="inlineStr">
        <is>
          <t>sgc-2025-8</t>
        </is>
      </c>
      <c r="B568" s="7" t="n">
        <v>4</v>
      </c>
      <c r="C568" s="7" t="inlineStr">
        <is>
          <t>SGC</t>
        </is>
      </c>
      <c r="D568" s="7" t="inlineStr">
        <is>
          <t>2025</t>
        </is>
      </c>
      <c r="E568" s="7" t="n">
        <v>8</v>
      </c>
      <c r="F568" s="8" t="n">
        <v>46295</v>
      </c>
      <c r="G568" s="7" t="inlineStr">
        <is>
          <t>JOAN IMAYINNE GALVIS MORENO</t>
        </is>
      </c>
      <c r="H568" s="14" t="n">
        <v>1.5</v>
      </c>
      <c r="I568" s="15">
        <f>IF(H568="","",H568/2)</f>
        <v/>
      </c>
      <c r="J568" s="7">
        <f>IF(H568="",0,IF(SUMPRODUCT((Seguimientos!$A$2:$A$1013=A568)*(Seguimientos!$F$2:$F$1013=F568)*(Seguimientos!$B$2:$B$1013&gt;B568)*(Seguimientos!$H$2:$H$1013&lt;&gt;""))=0,1,0))</f>
        <v/>
      </c>
      <c r="K568" s="7">
        <f>A568&amp;"|"&amp;B568</f>
        <v/>
      </c>
      <c r="L568" s="13" t="inlineStr">
        <is>
          <t>Se elabora el análisis de la batería de indicadores y el resultado de los mismos a la vigencia del mes de septiembre, entendiendo que al corte de la información solicitad para la Revisión por la Dirección, la información actualizada de los indicadores está cargados de forma trimestral y semestral (pendiente cargue de indicadores trimestre III y IV y semestre II de 2026).</t>
        </is>
      </c>
    </row>
    <row r="569">
      <c r="A569" s="7" t="inlineStr">
        <is>
          <t>sgc-2025-9</t>
        </is>
      </c>
      <c r="B569" s="7" t="n">
        <v>1</v>
      </c>
      <c r="C569" s="7" t="inlineStr">
        <is>
          <t>SGC</t>
        </is>
      </c>
      <c r="D569" s="7" t="inlineStr">
        <is>
          <t>2025</t>
        </is>
      </c>
      <c r="E569" s="7" t="n">
        <v>9</v>
      </c>
      <c r="F569" s="8" t="n">
        <v>46021</v>
      </c>
      <c r="G569" s="7" t="inlineStr">
        <is>
          <t>JOAN IMAYINNE GALVIS MORENO</t>
        </is>
      </c>
      <c r="H569" s="14" t="n">
        <v>1</v>
      </c>
      <c r="I569" s="15">
        <f>IF(H569="","",H569/2)</f>
        <v/>
      </c>
      <c r="J569" s="7">
        <f>IF(H569="",0,IF(SUMPRODUCT((Seguimientos!$A$2:$A$1013=A569)*(Seguimientos!$F$2:$F$1013=F569)*(Seguimientos!$B$2:$B$1013&gt;B569)*(Seguimientos!$H$2:$H$1013&lt;&gt;""))=0,1,0))</f>
        <v/>
      </c>
      <c r="K569" s="7">
        <f>A569&amp;"|"&amp;B569</f>
        <v/>
      </c>
      <c r="L569" s="13" t="inlineStr">
        <is>
          <t>Para el cumplimiento de esta actividad, se viene adelantando la revisión, proyección y ajuste de los procesos asociados a la recepción, verificación y carga de los trabajos de grado y demás producciones intelectuales desarrolladas por los Creadores de Oportunidades de la Universidad de Cundinamarca en las diferentes Unidades Regionales. Como parte de este proceso, se tiene previsto realizar el levantamiento y consolidación de la información correspondiente a los gestores y líderes responsables de la carga y administración del repositorio institucional en cada una de las unidades regionales. Posteriormente, dicha información será remitida a la Vicerrectoría Administrativa y Financiera y a la Dirección de Talento Humano para la validación, aprobación y gestión de los procesos de vinculación que se requieran.</t>
        </is>
      </c>
    </row>
    <row r="570">
      <c r="A570" s="7" t="inlineStr">
        <is>
          <t>sgc-2025-9</t>
        </is>
      </c>
      <c r="B570" s="7" t="n">
        <v>2</v>
      </c>
      <c r="C570" s="7" t="inlineStr">
        <is>
          <t>SGC</t>
        </is>
      </c>
      <c r="D570" s="7" t="inlineStr">
        <is>
          <t>2025</t>
        </is>
      </c>
      <c r="E570" s="7" t="n">
        <v>9</v>
      </c>
      <c r="F570" s="8" t="n">
        <v>46142</v>
      </c>
      <c r="G570" s="7" t="inlineStr">
        <is>
          <t>JOAN IMAYINNE GALVIS MORENO</t>
        </is>
      </c>
      <c r="H570" s="14" t="n">
        <v>1</v>
      </c>
      <c r="I570" s="15">
        <f>IF(H570="","",H570/2)</f>
        <v/>
      </c>
      <c r="J570" s="7">
        <f>IF(H570="",0,IF(SUMPRODUCT((Seguimientos!$A$2:$A$1013=A570)*(Seguimientos!$F$2:$F$1013=F570)*(Seguimientos!$B$2:$B$1013&gt;B570)*(Seguimientos!$H$2:$H$1013&lt;&gt;""))=0,1,0))</f>
        <v/>
      </c>
      <c r="K570" s="7">
        <f>A570&amp;"|"&amp;B570</f>
        <v/>
      </c>
      <c r="L570" s="13" t="inlineStr">
        <is>
          <t>Se remitió informe en el cual se contemplan las necesidades identificadas y reportadas por los directores administrativos de las diferentes seccionales y extensiones, relacionadas con la cobertura y prestación del servicio en cada una de las unidades regionales. Si bien se evidencia la proyección y planificación de las acciones requeridas para atender dichas necesidades, actualmente se está a la espera de la ejecución de los contratos correspondientes, los cuales permitirán fortalecer la cobertura y garantizar la adecuada prestación del servicio en las seccionales y extensiones de la Universidad.</t>
        </is>
      </c>
    </row>
    <row r="571">
      <c r="A571" s="7" t="inlineStr">
        <is>
          <t>sgc-2025-9</t>
        </is>
      </c>
      <c r="B571" s="7" t="n">
        <v>3</v>
      </c>
      <c r="C571" s="7" t="inlineStr">
        <is>
          <t>SGC</t>
        </is>
      </c>
      <c r="D571" s="7" t="inlineStr">
        <is>
          <t>2025</t>
        </is>
      </c>
      <c r="E571" s="7" t="n">
        <v>9</v>
      </c>
      <c r="F571" s="8" t="n">
        <v>46203</v>
      </c>
      <c r="G571" s="7" t="inlineStr">
        <is>
          <t>JOAN IMAYINNE GALVIS MORENO</t>
        </is>
      </c>
      <c r="H571" s="14" t="n">
        <v>1.5</v>
      </c>
      <c r="I571" s="15">
        <f>IF(H571="","",H571/2)</f>
        <v/>
      </c>
      <c r="J571" s="7">
        <f>IF(H571="",0,IF(SUMPRODUCT((Seguimientos!$A$2:$A$1013=A571)*(Seguimientos!$F$2:$F$1013=F571)*(Seguimientos!$B$2:$B$1013&gt;B571)*(Seguimientos!$H$2:$H$1013&lt;&gt;""))=0,1,0))</f>
        <v/>
      </c>
      <c r="K571" s="7">
        <f>A571&amp;"|"&amp;B571</f>
        <v/>
      </c>
      <c r="L571" s="13" t="inlineStr">
        <is>
          <t>Se remite informacion sobre la priorizacion del personal de la Unidad de Apoyo Academico en el fortalecimiento del Repositorio Institucional en cada unidad regional, sin embargo no se evidencia oficio de solicitud de contratacion, tener en cuenta los entregables.</t>
        </is>
      </c>
    </row>
    <row r="572">
      <c r="A572" s="7" t="inlineStr">
        <is>
          <t>sgc-2025-9</t>
        </is>
      </c>
      <c r="B572" s="7" t="n">
        <v>4</v>
      </c>
      <c r="C572" s="7" t="inlineStr">
        <is>
          <t>SGC</t>
        </is>
      </c>
      <c r="D572" s="7" t="inlineStr">
        <is>
          <t>2025</t>
        </is>
      </c>
      <c r="E572" s="7" t="n">
        <v>9</v>
      </c>
      <c r="F572" s="8" t="n">
        <v>46295</v>
      </c>
      <c r="G572" s="7" t="inlineStr">
        <is>
          <t>JOAN IMAYINNE GALVIS MORENO</t>
        </is>
      </c>
      <c r="H572" s="14" t="n">
        <v>1.5</v>
      </c>
      <c r="I572" s="15">
        <f>IF(H572="","",H572/2)</f>
        <v/>
      </c>
      <c r="J572" s="7">
        <f>IF(H572="",0,IF(SUMPRODUCT((Seguimientos!$A$2:$A$1013=A572)*(Seguimientos!$F$2:$F$1013=F572)*(Seguimientos!$B$2:$B$1013&gt;B572)*(Seguimientos!$H$2:$H$1013&lt;&gt;""))=0,1,0))</f>
        <v/>
      </c>
      <c r="K572" s="7">
        <f>A572&amp;"|"&amp;B572</f>
        <v/>
      </c>
      <c r="L572" s="13" t="inlineStr">
        <is>
          <t>Se remite informacion sobre la priorizacion del personal de la Unidad de Apoyo Academico en el fortalecimiento del Repositorio Institucional en cada unidad regional, sin embargo no se evidencia oficio de solicitud de contratacion, tener en cuenta los entregables.</t>
        </is>
      </c>
    </row>
    <row r="573">
      <c r="A573" s="7" t="inlineStr">
        <is>
          <t>sgc-2025-10</t>
        </is>
      </c>
      <c r="B573" s="7" t="n">
        <v>1</v>
      </c>
      <c r="C573" s="7" t="inlineStr">
        <is>
          <t>SGC</t>
        </is>
      </c>
      <c r="D573" s="7" t="inlineStr">
        <is>
          <t>2025</t>
        </is>
      </c>
      <c r="E573" s="7" t="n">
        <v>10</v>
      </c>
      <c r="F573" s="8" t="n">
        <v>46021</v>
      </c>
      <c r="G573" s="7" t="inlineStr">
        <is>
          <t>JOAN IMAYINNE GALVIS MORENO</t>
        </is>
      </c>
      <c r="H573" s="14" t="n">
        <v>1</v>
      </c>
      <c r="I573" s="15">
        <f>IF(H573="","",H573/2)</f>
        <v/>
      </c>
      <c r="J573" s="7">
        <f>IF(H573="",0,IF(SUMPRODUCT((Seguimientos!$A$2:$A$1013=A573)*(Seguimientos!$F$2:$F$1013=F573)*(Seguimientos!$B$2:$B$1013&gt;B573)*(Seguimientos!$H$2:$H$1013&lt;&gt;""))=0,1,0))</f>
        <v/>
      </c>
      <c r="K573" s="7">
        <f>A573&amp;"|"&amp;B573</f>
        <v/>
      </c>
      <c r="L573" s="13" t="inlineStr">
        <is>
          <t>Se están realizando visitas a las diferentes Unidades Regionales de la Universidad con el fin de verificar la cobertura del servicio prestado por los gestores de la Unidad de Apoyo Académico y diagnosticar la distribución de turnos. Asimismo, se adelantarán mesas de trabajo con los directores administrativos para evaluar necesidades de personal y proponer mejoras en la asignación de turnos, buscando optimizar el servicio y garantizar una atención oportuna en los espacios académicos.</t>
        </is>
      </c>
    </row>
    <row r="574">
      <c r="A574" s="7" t="inlineStr">
        <is>
          <t>sgc-2025-10</t>
        </is>
      </c>
      <c r="B574" s="7" t="n">
        <v>2</v>
      </c>
      <c r="C574" s="7" t="inlineStr">
        <is>
          <t>SGC</t>
        </is>
      </c>
      <c r="D574" s="7" t="inlineStr">
        <is>
          <t>2025</t>
        </is>
      </c>
      <c r="E574" s="7" t="n">
        <v>10</v>
      </c>
      <c r="F574" s="8" t="n">
        <v>46142</v>
      </c>
      <c r="G574" s="7" t="inlineStr">
        <is>
          <t>JOAN IMAYINNE GALVIS MORENO</t>
        </is>
      </c>
      <c r="H574" s="14" t="n">
        <v>1</v>
      </c>
      <c r="I574" s="15">
        <f>IF(H574="","",H574/2)</f>
        <v/>
      </c>
      <c r="J574" s="7">
        <f>IF(H574="",0,IF(SUMPRODUCT((Seguimientos!$A$2:$A$1013=A574)*(Seguimientos!$F$2:$F$1013=F574)*(Seguimientos!$B$2:$B$1013&gt;B574)*(Seguimientos!$H$2:$H$1013&lt;&gt;""))=0,1,0))</f>
        <v/>
      </c>
      <c r="K574" s="7">
        <f>A574&amp;"|"&amp;B574</f>
        <v/>
      </c>
      <c r="L574" s="13" t="inlineStr">
        <is>
          <t>Se remitió informe en el cual se contemplan las necesidades identificadas y reportadas por los directores administrativos de las diferentes seccionales y extensiones, relacionadas con la cobertura y prestación del servicio en cada una de las unidades regionales. Si bien se evidencia la proyección y planificación de las acciones requeridas para atender dichas necesidades, actualmente se está a la espera de la ejecución de los contratos correspondientes, los cuales permitirán fortalecer la cobertura y garantizar la adecuada prestación del servicio en las seccionales y extensiones de la Universidad.</t>
        </is>
      </c>
    </row>
    <row r="575">
      <c r="A575" s="7" t="inlineStr">
        <is>
          <t>sgc-2025-10</t>
        </is>
      </c>
      <c r="B575" s="7" t="n">
        <v>3</v>
      </c>
      <c r="C575" s="7" t="inlineStr">
        <is>
          <t>SGC</t>
        </is>
      </c>
      <c r="D575" s="7" t="inlineStr">
        <is>
          <t>2025</t>
        </is>
      </c>
      <c r="E575" s="7" t="n">
        <v>10</v>
      </c>
      <c r="F575" s="8" t="n">
        <v>46203</v>
      </c>
      <c r="G575" s="7" t="inlineStr">
        <is>
          <t>JOAN IMAYINNE GALVIS MORENO</t>
        </is>
      </c>
      <c r="H575" s="14" t="n">
        <v>1.5</v>
      </c>
      <c r="I575" s="15">
        <f>IF(H575="","",H575/2)</f>
        <v/>
      </c>
      <c r="J575" s="7">
        <f>IF(H575="",0,IF(SUMPRODUCT((Seguimientos!$A$2:$A$1013=A575)*(Seguimientos!$F$2:$F$1013=F575)*(Seguimientos!$B$2:$B$1013&gt;B575)*(Seguimientos!$H$2:$H$1013&lt;&gt;""))=0,1,0))</f>
        <v/>
      </c>
      <c r="K575" s="7">
        <f>A575&amp;"|"&amp;B575</f>
        <v/>
      </c>
      <c r="L575" s="13" t="inlineStr">
        <is>
          <t>Si bien la gestion se adelanto por parte de la Unidad de Apoyo Academico se solicita tener en cuenta los entregables colocados en la actividad,</t>
        </is>
      </c>
    </row>
    <row r="576">
      <c r="A576" s="7" t="inlineStr">
        <is>
          <t>sgc-2025-10</t>
        </is>
      </c>
      <c r="B576" s="7" t="n">
        <v>4</v>
      </c>
      <c r="C576" s="7" t="inlineStr">
        <is>
          <t>SGC</t>
        </is>
      </c>
      <c r="D576" s="7" t="inlineStr">
        <is>
          <t>2025</t>
        </is>
      </c>
      <c r="E576" s="7" t="n">
        <v>10</v>
      </c>
      <c r="F576" s="8" t="n">
        <v>46295</v>
      </c>
      <c r="G576" s="7" t="inlineStr">
        <is>
          <t>JOAN IMAYINNE GALVIS MORENO</t>
        </is>
      </c>
      <c r="H576" s="14" t="n">
        <v>1.5</v>
      </c>
      <c r="I576" s="15">
        <f>IF(H576="","",H576/2)</f>
        <v/>
      </c>
      <c r="J576" s="7">
        <f>IF(H576="",0,IF(SUMPRODUCT((Seguimientos!$A$2:$A$1013=A576)*(Seguimientos!$F$2:$F$1013=F576)*(Seguimientos!$B$2:$B$1013&gt;B576)*(Seguimientos!$H$2:$H$1013&lt;&gt;""))=0,1,0))</f>
        <v/>
      </c>
      <c r="K576" s="7">
        <f>A576&amp;"|"&amp;B576</f>
        <v/>
      </c>
      <c r="L576" s="13" t="inlineStr">
        <is>
          <t>Si bien la gestion se adelanto por parte de la Unidad de Apoyo Academico se solicita tener en cuenta los entregables colocados en la actividad,</t>
        </is>
      </c>
    </row>
    <row r="577">
      <c r="A577" s="7" t="inlineStr">
        <is>
          <t>sgc-2025-11</t>
        </is>
      </c>
      <c r="B577" s="7" t="n">
        <v>1</v>
      </c>
      <c r="C577" s="7" t="inlineStr">
        <is>
          <t>SGC</t>
        </is>
      </c>
      <c r="D577" s="7" t="inlineStr">
        <is>
          <t>2025</t>
        </is>
      </c>
      <c r="E577" s="7" t="n">
        <v>11</v>
      </c>
      <c r="F577" s="8" t="n">
        <v>46021</v>
      </c>
      <c r="G577" s="7" t="inlineStr">
        <is>
          <t>JOAN IMAYINNE GALVIS MORENO</t>
        </is>
      </c>
      <c r="H577" s="14" t="n">
        <v>1</v>
      </c>
      <c r="I577" s="15">
        <f>IF(H577="","",H577/2)</f>
        <v/>
      </c>
      <c r="J577" s="7">
        <f>IF(H577="",0,IF(SUMPRODUCT((Seguimientos!$A$2:$A$1013=A577)*(Seguimientos!$F$2:$F$1013=F577)*(Seguimientos!$B$2:$B$1013&gt;B577)*(Seguimientos!$H$2:$H$1013&lt;&gt;""))=0,1,0))</f>
        <v/>
      </c>
      <c r="K577" s="7">
        <f>A577&amp;"|"&amp;B577</f>
        <v/>
      </c>
      <c r="L577" s="13" t="inlineStr">
        <is>
          <t>Se vienen adelantando acciones conjuntas con la Dirección de Planeación y la Dirección de Investigación para dar cumplimiento a la oportunidad de mejora. Para la vigencia 2026, se asignaron recursos para la calibración de equipos de investigación mediante la Resolución 143 del 22 de diciembre de 2025. Asimismo, el 30 de enero de 2026 se solicitó a la Oficina de Calidad la reasignación de los indicadores a la Dirección de Investigación, con el fin de culminar el proceso antes de la primera medición de indicadores de la vigencia 2026</t>
        </is>
      </c>
    </row>
    <row r="578">
      <c r="A578" s="7" t="inlineStr">
        <is>
          <t>sgc-2025-11</t>
        </is>
      </c>
      <c r="B578" s="7" t="n">
        <v>2</v>
      </c>
      <c r="C578" s="7" t="inlineStr">
        <is>
          <t>SGC</t>
        </is>
      </c>
      <c r="D578" s="7" t="inlineStr">
        <is>
          <t>2025</t>
        </is>
      </c>
      <c r="E578" s="7" t="n">
        <v>11</v>
      </c>
      <c r="F578" s="8" t="n">
        <v>46142</v>
      </c>
      <c r="G578" s="7" t="inlineStr">
        <is>
          <t>JOAN IMAYINNE GALVIS MORENO</t>
        </is>
      </c>
      <c r="H578" s="14" t="n">
        <v>1.5</v>
      </c>
      <c r="I578" s="15">
        <f>IF(H578="","",H578/2)</f>
        <v/>
      </c>
      <c r="J578" s="7">
        <f>IF(H578="",0,IF(SUMPRODUCT((Seguimientos!$A$2:$A$1013=A578)*(Seguimientos!$F$2:$F$1013=F578)*(Seguimientos!$B$2:$B$1013&gt;B578)*(Seguimientos!$H$2:$H$1013&lt;&gt;""))=0,1,0))</f>
        <v/>
      </c>
      <c r="K578" s="7">
        <f>A578&amp;"|"&amp;B578</f>
        <v/>
      </c>
      <c r="L578" s="13" t="inlineStr">
        <is>
          <t>Se remite un informe en donde se le solicita al doctor Henry Aragon trasladar el indicador de la Unidad de Apoyo Academico a la Direccion de Investigacion para que esta sea medido por parte de dicha direccion.</t>
        </is>
      </c>
    </row>
    <row r="579">
      <c r="A579" s="7" t="inlineStr">
        <is>
          <t>sgc-2025-11</t>
        </is>
      </c>
      <c r="B579" s="7" t="n">
        <v>3</v>
      </c>
      <c r="C579" s="7" t="inlineStr">
        <is>
          <t>SGC</t>
        </is>
      </c>
      <c r="D579" s="7" t="inlineStr">
        <is>
          <t>2025</t>
        </is>
      </c>
      <c r="E579" s="7" t="n">
        <v>11</v>
      </c>
      <c r="F579" s="8" t="n">
        <v>46203</v>
      </c>
      <c r="G579" s="7" t="inlineStr">
        <is>
          <t>JOAN IMAYINNE GALVIS MORENO</t>
        </is>
      </c>
      <c r="H579" s="14" t="n">
        <v>2</v>
      </c>
      <c r="I579" s="15">
        <f>IF(H579="","",H579/2)</f>
        <v/>
      </c>
      <c r="J579" s="7">
        <f>IF(H579="",0,IF(SUMPRODUCT((Seguimientos!$A$2:$A$1013=A579)*(Seguimientos!$F$2:$F$1013=F579)*(Seguimientos!$B$2:$B$1013&gt;B579)*(Seguimientos!$H$2:$H$1013&lt;&gt;""))=0,1,0))</f>
        <v/>
      </c>
      <c r="K579" s="7">
        <f>A579&amp;"|"&amp;B579</f>
        <v/>
      </c>
      <c r="L579" s="13" t="inlineStr">
        <is>
          <t>Se realiza de manera efectiva solicitud del translado del indicador de calibracion de equipos y elementos educativos de Investin a la direccion de investigacion, en donde queda ajustado en la dicha del indicador de AAA y se presenta Oficio a la oficina de calidad notificando el translado</t>
        </is>
      </c>
    </row>
    <row r="580">
      <c r="A580" s="7" t="inlineStr">
        <is>
          <t>sgc-2025-11</t>
        </is>
      </c>
      <c r="B580" s="7" t="n">
        <v>4</v>
      </c>
      <c r="C580" s="7" t="inlineStr">
        <is>
          <t>SGC</t>
        </is>
      </c>
      <c r="D580" s="7" t="inlineStr">
        <is>
          <t>2025</t>
        </is>
      </c>
      <c r="E580" s="7" t="n">
        <v>11</v>
      </c>
      <c r="F580" s="8" t="n">
        <v>46295</v>
      </c>
      <c r="G580" s="7" t="inlineStr">
        <is>
          <t>JOAN IMAYINNE GALVIS MORENO</t>
        </is>
      </c>
      <c r="H580" s="14" t="n">
        <v>2</v>
      </c>
      <c r="I580" s="15">
        <f>IF(H580="","",H580/2)</f>
        <v/>
      </c>
      <c r="J580" s="7">
        <f>IF(H580="",0,IF(SUMPRODUCT((Seguimientos!$A$2:$A$1013=A580)*(Seguimientos!$F$2:$F$1013=F580)*(Seguimientos!$B$2:$B$1013&gt;B580)*(Seguimientos!$H$2:$H$1013&lt;&gt;""))=0,1,0))</f>
        <v/>
      </c>
      <c r="K580" s="7">
        <f>A580&amp;"|"&amp;B580</f>
        <v/>
      </c>
      <c r="L580" s="13" t="inlineStr">
        <is>
          <t>CUMPLIDO</t>
        </is>
      </c>
    </row>
    <row r="581">
      <c r="A581" s="7" t="inlineStr">
        <is>
          <t>sgc-2025-12</t>
        </is>
      </c>
      <c r="B581" s="7" t="n">
        <v>1</v>
      </c>
      <c r="C581" s="7" t="inlineStr">
        <is>
          <t>SGC</t>
        </is>
      </c>
      <c r="D581" s="7" t="inlineStr">
        <is>
          <t>2025</t>
        </is>
      </c>
      <c r="E581" s="7" t="n">
        <v>12</v>
      </c>
      <c r="F581" s="8" t="n">
        <v>46021</v>
      </c>
      <c r="G581" s="7" t="inlineStr">
        <is>
          <t>JOAN IMAYINNE GALVIS MORENO</t>
        </is>
      </c>
      <c r="H581" s="14" t="n">
        <v>2</v>
      </c>
      <c r="I581" s="15">
        <f>IF(H581="","",H581/2)</f>
        <v/>
      </c>
      <c r="J581" s="7">
        <f>IF(H581="",0,IF(SUMPRODUCT((Seguimientos!$A$2:$A$1013=A581)*(Seguimientos!$F$2:$F$1013=F581)*(Seguimientos!$B$2:$B$1013&gt;B581)*(Seguimientos!$H$2:$H$1013&lt;&gt;""))=0,1,0))</f>
        <v/>
      </c>
      <c r="K581" s="7">
        <f>A581&amp;"|"&amp;B581</f>
        <v/>
      </c>
      <c r="L581" s="13" t="inlineStr">
        <is>
          <t>De acuerdo al informe suministrado por la Direccion de Sistemas y Tecnologia se identifica la creacion del tablero de control el cual contiene unformacion general: la que esta estructura según frentes estategicos, indicadores de tipo porcentual y numerico y por ultimo tiene un item del comportamiento de los objetivos del sistema.</t>
        </is>
      </c>
    </row>
    <row r="582">
      <c r="A582" s="7" t="inlineStr">
        <is>
          <t>sgc-2025-12</t>
        </is>
      </c>
      <c r="B582" s="7" t="n">
        <v>2</v>
      </c>
      <c r="C582" s="7" t="inlineStr">
        <is>
          <t>SGC</t>
        </is>
      </c>
      <c r="D582" s="7" t="inlineStr">
        <is>
          <t>2025</t>
        </is>
      </c>
      <c r="E582" s="7" t="n">
        <v>12</v>
      </c>
      <c r="F582" s="8" t="n">
        <v>46142</v>
      </c>
      <c r="G582" s="7" t="inlineStr">
        <is>
          <t>JOAN IMAYINNE GALVIS MORENO</t>
        </is>
      </c>
      <c r="H582" s="14" t="n">
        <v>2</v>
      </c>
      <c r="I582" s="15">
        <f>IF(H582="","",H582/2)</f>
        <v/>
      </c>
      <c r="J582" s="7">
        <f>IF(H582="",0,IF(SUMPRODUCT((Seguimientos!$A$2:$A$1013=A582)*(Seguimientos!$F$2:$F$1013=F582)*(Seguimientos!$B$2:$B$1013&gt;B582)*(Seguimientos!$H$2:$H$1013&lt;&gt;""))=0,1,0))</f>
        <v/>
      </c>
      <c r="K582" s="7">
        <f>A582&amp;"|"&amp;B582</f>
        <v/>
      </c>
      <c r="L582" s="13" t="inlineStr"/>
    </row>
    <row r="583">
      <c r="A583" s="7" t="inlineStr">
        <is>
          <t>sgc-2025-12</t>
        </is>
      </c>
      <c r="B583" s="7" t="n">
        <v>3</v>
      </c>
      <c r="C583" s="7" t="inlineStr">
        <is>
          <t>SGC</t>
        </is>
      </c>
      <c r="D583" s="7" t="inlineStr">
        <is>
          <t>2025</t>
        </is>
      </c>
      <c r="E583" s="7" t="n">
        <v>12</v>
      </c>
      <c r="F583" s="8" t="n">
        <v>46203</v>
      </c>
      <c r="G583" s="7" t="inlineStr">
        <is>
          <t>JOAN IMAYINNE GALVIS MORENO</t>
        </is>
      </c>
      <c r="H583" s="14" t="n">
        <v>2</v>
      </c>
      <c r="I583" s="15">
        <f>IF(H583="","",H583/2)</f>
        <v/>
      </c>
      <c r="J583" s="7">
        <f>IF(H583="",0,IF(SUMPRODUCT((Seguimientos!$A$2:$A$1013=A583)*(Seguimientos!$F$2:$F$1013=F583)*(Seguimientos!$B$2:$B$1013&gt;B583)*(Seguimientos!$H$2:$H$1013&lt;&gt;""))=0,1,0))</f>
        <v/>
      </c>
      <c r="K583" s="7">
        <f>A583&amp;"|"&amp;B583</f>
        <v/>
      </c>
      <c r="L583" s="13" t="inlineStr"/>
    </row>
    <row r="584">
      <c r="A584" s="7" t="inlineStr">
        <is>
          <t>sgc-2025-12</t>
        </is>
      </c>
      <c r="B584" s="7" t="n">
        <v>4</v>
      </c>
      <c r="C584" s="7" t="inlineStr">
        <is>
          <t>SGC</t>
        </is>
      </c>
      <c r="D584" s="7" t="inlineStr">
        <is>
          <t>2025</t>
        </is>
      </c>
      <c r="E584" s="7" t="n">
        <v>12</v>
      </c>
      <c r="F584" s="8" t="n">
        <v>46295</v>
      </c>
      <c r="G584" s="7" t="inlineStr">
        <is>
          <t>JOAN IMAYINNE GALVIS MORENO</t>
        </is>
      </c>
      <c r="H584" s="14" t="n">
        <v>2</v>
      </c>
      <c r="I584" s="15">
        <f>IF(H584="","",H584/2)</f>
        <v/>
      </c>
      <c r="J584" s="7">
        <f>IF(H584="",0,IF(SUMPRODUCT((Seguimientos!$A$2:$A$1013=A584)*(Seguimientos!$F$2:$F$1013=F584)*(Seguimientos!$B$2:$B$1013&gt;B584)*(Seguimientos!$H$2:$H$1013&lt;&gt;""))=0,1,0))</f>
        <v/>
      </c>
      <c r="K584" s="7">
        <f>A584&amp;"|"&amp;B584</f>
        <v/>
      </c>
      <c r="L584" s="13" t="inlineStr">
        <is>
          <t>CUMPLIDO</t>
        </is>
      </c>
    </row>
    <row r="585">
      <c r="A585" s="7" t="inlineStr">
        <is>
          <t>sgc-2025-13</t>
        </is>
      </c>
      <c r="B585" s="7" t="n">
        <v>1</v>
      </c>
      <c r="C585" s="7" t="inlineStr">
        <is>
          <t>SGC</t>
        </is>
      </c>
      <c r="D585" s="7" t="inlineStr">
        <is>
          <t>2025</t>
        </is>
      </c>
      <c r="E585" s="7" t="n">
        <v>13</v>
      </c>
      <c r="F585" s="8" t="n">
        <v>46021</v>
      </c>
      <c r="G585" s="7" t="inlineStr">
        <is>
          <t>JOAN IMAYINNE GALVIS MORENO</t>
        </is>
      </c>
      <c r="H585" s="14" t="n">
        <v>0</v>
      </c>
      <c r="I585" s="15">
        <f>IF(H585="","",H585/2)</f>
        <v/>
      </c>
      <c r="J585" s="7">
        <f>IF(H585="",0,IF(SUMPRODUCT((Seguimientos!$A$2:$A$1013=A585)*(Seguimientos!$F$2:$F$1013=F585)*(Seguimientos!$B$2:$B$1013&gt;B585)*(Seguimientos!$H$2:$H$1013&lt;&gt;""))=0,1,0))</f>
        <v/>
      </c>
      <c r="K585" s="7">
        <f>A585&amp;"|"&amp;B585</f>
        <v/>
      </c>
      <c r="L585" s="13" t="inlineStr">
        <is>
          <t>No se remite informacion</t>
        </is>
      </c>
    </row>
    <row r="586">
      <c r="A586" s="7" t="inlineStr">
        <is>
          <t>sgc-2025-13</t>
        </is>
      </c>
      <c r="B586" s="7" t="n">
        <v>2</v>
      </c>
      <c r="C586" s="7" t="inlineStr">
        <is>
          <t>SGC</t>
        </is>
      </c>
      <c r="D586" s="7" t="inlineStr">
        <is>
          <t>2025</t>
        </is>
      </c>
      <c r="E586" s="7" t="n">
        <v>13</v>
      </c>
      <c r="F586" s="8" t="n">
        <v>46142</v>
      </c>
      <c r="G586" s="7" t="inlineStr">
        <is>
          <t>JOAN IMAYINNE GALVIS MORENO</t>
        </is>
      </c>
      <c r="H586" s="14" t="n">
        <v>0</v>
      </c>
      <c r="I586" s="15">
        <f>IF(H586="","",H586/2)</f>
        <v/>
      </c>
      <c r="J586" s="7">
        <f>IF(H586="",0,IF(SUMPRODUCT((Seguimientos!$A$2:$A$1013=A586)*(Seguimientos!$F$2:$F$1013=F586)*(Seguimientos!$B$2:$B$1013&gt;B586)*(Seguimientos!$H$2:$H$1013&lt;&gt;""))=0,1,0))</f>
        <v/>
      </c>
      <c r="K586" s="7">
        <f>A586&amp;"|"&amp;B586</f>
        <v/>
      </c>
      <c r="L586" s="13" t="inlineStr">
        <is>
          <t>No se remite informacion</t>
        </is>
      </c>
    </row>
    <row r="587">
      <c r="A587" s="7" t="inlineStr">
        <is>
          <t>sgc-2025-13</t>
        </is>
      </c>
      <c r="B587" s="7" t="n">
        <v>3</v>
      </c>
      <c r="C587" s="7" t="inlineStr">
        <is>
          <t>SGC</t>
        </is>
      </c>
      <c r="D587" s="7" t="inlineStr">
        <is>
          <t>2025</t>
        </is>
      </c>
      <c r="E587" s="7" t="n">
        <v>13</v>
      </c>
      <c r="F587" s="8" t="n">
        <v>46203</v>
      </c>
      <c r="G587" s="7" t="inlineStr">
        <is>
          <t>JOAN IMAYINNE GALVIS MORENO</t>
        </is>
      </c>
      <c r="H587" s="14" t="n">
        <v>0</v>
      </c>
      <c r="I587" s="15">
        <f>IF(H587="","",H587/2)</f>
        <v/>
      </c>
      <c r="J587" s="7">
        <f>IF(H587="",0,IF(SUMPRODUCT((Seguimientos!$A$2:$A$1013=A587)*(Seguimientos!$F$2:$F$1013=F587)*(Seguimientos!$B$2:$B$1013&gt;B587)*(Seguimientos!$H$2:$H$1013&lt;&gt;""))=0,1,0))</f>
        <v/>
      </c>
      <c r="K587" s="7">
        <f>A587&amp;"|"&amp;B587</f>
        <v/>
      </c>
      <c r="L587" s="13" t="inlineStr"/>
    </row>
    <row r="588">
      <c r="A588" s="7" t="inlineStr">
        <is>
          <t>sgc-2025-13</t>
        </is>
      </c>
      <c r="B588" s="7" t="n">
        <v>4</v>
      </c>
      <c r="C588" s="7" t="inlineStr">
        <is>
          <t>SGC</t>
        </is>
      </c>
      <c r="D588" s="7" t="inlineStr">
        <is>
          <t>2025</t>
        </is>
      </c>
      <c r="E588" s="7" t="n">
        <v>13</v>
      </c>
      <c r="F588" s="8" t="n">
        <v>46295</v>
      </c>
      <c r="G588" s="7" t="inlineStr">
        <is>
          <t>JOAN IMAYINNE GALVIS MORENO</t>
        </is>
      </c>
      <c r="H588" s="14" t="n">
        <v>0</v>
      </c>
      <c r="I588" s="15">
        <f>IF(H588="","",H588/2)</f>
        <v/>
      </c>
      <c r="J588" s="7">
        <f>IF(H588="",0,IF(SUMPRODUCT((Seguimientos!$A$2:$A$1013=A588)*(Seguimientos!$F$2:$F$1013=F588)*(Seguimientos!$B$2:$B$1013&gt;B588)*(Seguimientos!$H$2:$H$1013&lt;&gt;""))=0,1,0))</f>
        <v/>
      </c>
      <c r="K588" s="7">
        <f>A588&amp;"|"&amp;B588</f>
        <v/>
      </c>
      <c r="L588" s="13" t="inlineStr"/>
    </row>
    <row r="589">
      <c r="A589" s="7" t="inlineStr">
        <is>
          <t>sga-2022-1</t>
        </is>
      </c>
      <c r="B589" s="7" t="n">
        <v>1</v>
      </c>
      <c r="C589" s="7" t="inlineStr">
        <is>
          <t>SGA</t>
        </is>
      </c>
      <c r="D589" s="7" t="inlineStr">
        <is>
          <t>2022</t>
        </is>
      </c>
      <c r="E589" s="7" t="n">
        <v>1</v>
      </c>
      <c r="F589" s="8" t="n">
        <v>45133</v>
      </c>
      <c r="G589" s="7" t="inlineStr">
        <is>
          <t>DANIEL EDUARDO SOTO BERNAL</t>
        </is>
      </c>
      <c r="H589" s="14" t="n">
        <v>1.5</v>
      </c>
      <c r="I589" s="15">
        <f>IF(H589="","",H589/2)</f>
        <v/>
      </c>
      <c r="J589" s="7">
        <f>IF(H589="",0,IF(SUMPRODUCT((Seguimientos!$A$2:$A$1013=A589)*(Seguimientos!$F$2:$F$1013=F589)*(Seguimientos!$B$2:$B$1013&gt;B589)*(Seguimientos!$H$2:$H$1013&lt;&gt;""))=0,1,0))</f>
        <v/>
      </c>
      <c r="K589" s="7">
        <f>A589&amp;"|"&amp;B589</f>
        <v/>
      </c>
      <c r="L589" s="13" t="inlineStr">
        <is>
          <t>1.1. Se realiza mesa de trabajo con los directores administrativos para el seguimiento a proyectos de inversión asociados a Planes de Mejoramiento producto de auditorias internas y de certificación. 1.2. Se presenta el proyecto de inversión 2024 formulado desde la Unidad de Apoyo Académico bajo el PVPOAI - 214, en el cual se contempló la adquisición de gabinetes para el almacenamiento de sustancias químicas.</t>
        </is>
      </c>
    </row>
    <row r="590">
      <c r="A590" s="7" t="inlineStr">
        <is>
          <t>sga-2022-1</t>
        </is>
      </c>
      <c r="B590" s="7" t="n">
        <v>2</v>
      </c>
      <c r="C590" s="7" t="inlineStr">
        <is>
          <t>SGA</t>
        </is>
      </c>
      <c r="D590" s="7" t="inlineStr">
        <is>
          <t>2022</t>
        </is>
      </c>
      <c r="E590" s="7" t="n">
        <v>1</v>
      </c>
      <c r="F590" s="8" t="n">
        <v>45245</v>
      </c>
      <c r="G590" s="7" t="inlineStr">
        <is>
          <t>DANIEL EDUARDO SOTO BERNAL</t>
        </is>
      </c>
      <c r="H590" s="14" t="n">
        <v>2</v>
      </c>
      <c r="I590" s="15">
        <f>IF(H590="","",H590/2)</f>
        <v/>
      </c>
      <c r="J590" s="7">
        <f>IF(H590="",0,IF(SUMPRODUCT((Seguimientos!$A$2:$A$1013=A590)*(Seguimientos!$F$2:$F$1013=F590)*(Seguimientos!$B$2:$B$1013&gt;B590)*(Seguimientos!$H$2:$H$1013&lt;&gt;""))=0,1,0))</f>
        <v/>
      </c>
      <c r="K590" s="7">
        <f>A590&amp;"|"&amp;B590</f>
        <v/>
      </c>
      <c r="L590" s="13" t="inlineStr">
        <is>
          <t>1.1. Se realiza mesa de trabajo con los directores administrativos para el seguimiento a proyectos de inversión asociados a Planes de Mejoramiento producto de auditorias internas y de certificación. 1.2. Se gestionan recursos asociados con el cierre o mantenimiento de acciones de cierre de Planes de Mejoramiento en las diferentes unidades regionales: -.Almacenamiento de sustancias químicas: Se presenta el proyecto de inversión 2024 formulado desde la Unidad de Apoyo Académico bajo el PVPOAI - 337, en el cual se contempló la adquisición de gabinetes para el almacenamiento de sustancias químicas. -. Caracterización, recolección y disposición de vertimientos: Fusagasugá, Facatativá y Ubaté. -. Micromedidores de agua: Para medición de aguas lluvia en Chía y para medición de consumo de agua de la concesión en El Vergel. De acuerdo con la revisión del corte anterior se logra evidenciar todos los contratos celebrados para el segundo periodo académico del 2023 donde se evidencian planes de inversión en la Seccional Ubaté y agregan las carpeteas de la Sede Fusagasugá y la Extensión de Facatativá, como se pude evidenciar en el drive, dando por terminada esta tarea.</t>
        </is>
      </c>
    </row>
    <row r="591">
      <c r="A591" s="7" t="inlineStr">
        <is>
          <t>sga-2022-1</t>
        </is>
      </c>
      <c r="B591" s="7" t="n">
        <v>3</v>
      </c>
      <c r="C591" s="7" t="inlineStr">
        <is>
          <t>SGA</t>
        </is>
      </c>
      <c r="D591" s="7" t="inlineStr">
        <is>
          <t>2022</t>
        </is>
      </c>
      <c r="E591" s="7" t="n">
        <v>1</v>
      </c>
      <c r="F591" s="8" t="n">
        <v>45405</v>
      </c>
      <c r="G591" s="7" t="inlineStr">
        <is>
          <t>DANIEL EDUARDO SOTO BERNAL</t>
        </is>
      </c>
      <c r="H591" s="14" t="n">
        <v>2</v>
      </c>
      <c r="I591" s="15">
        <f>IF(H591="","",H591/2)</f>
        <v/>
      </c>
      <c r="J591" s="7">
        <f>IF(H591="",0,IF(SUMPRODUCT((Seguimientos!$A$2:$A$1013=A591)*(Seguimientos!$F$2:$F$1013=F591)*(Seguimientos!$B$2:$B$1013&gt;B591)*(Seguimientos!$H$2:$H$1013&lt;&gt;""))=0,1,0))</f>
        <v/>
      </c>
      <c r="K591" s="7">
        <f>A591&amp;"|"&amp;B591</f>
        <v/>
      </c>
      <c r="L591" s="13" t="inlineStr">
        <is>
          <t>Actividad cumplida</t>
        </is>
      </c>
    </row>
    <row r="592">
      <c r="A592" s="7" t="inlineStr">
        <is>
          <t>sga-2022-1</t>
        </is>
      </c>
      <c r="B592" s="7" t="n">
        <v>4</v>
      </c>
      <c r="C592" s="7" t="inlineStr">
        <is>
          <t>SGA</t>
        </is>
      </c>
      <c r="D592" s="7" t="inlineStr">
        <is>
          <t>2022</t>
        </is>
      </c>
      <c r="E592" s="7" t="n">
        <v>1</v>
      </c>
      <c r="F592" s="8" t="n">
        <v>45497</v>
      </c>
      <c r="G592" s="7" t="inlineStr">
        <is>
          <t>DANIEL EDUARDO SOTO BERNAL</t>
        </is>
      </c>
      <c r="H592" s="14" t="n">
        <v>2</v>
      </c>
      <c r="I592" s="15">
        <f>IF(H592="","",H592/2)</f>
        <v/>
      </c>
      <c r="J592" s="7">
        <f>IF(H592="",0,IF(SUMPRODUCT((Seguimientos!$A$2:$A$1013=A592)*(Seguimientos!$F$2:$F$1013=F592)*(Seguimientos!$B$2:$B$1013&gt;B592)*(Seguimientos!$H$2:$H$1013&lt;&gt;""))=0,1,0))</f>
        <v/>
      </c>
      <c r="K592" s="7">
        <f>A592&amp;"|"&amp;B592</f>
        <v/>
      </c>
      <c r="L592" s="13" t="inlineStr">
        <is>
          <t>Actividad cumplida</t>
        </is>
      </c>
    </row>
    <row r="593">
      <c r="A593" s="7" t="inlineStr">
        <is>
          <t>sga-2022-1</t>
        </is>
      </c>
      <c r="B593" s="7" t="n">
        <v>5</v>
      </c>
      <c r="C593" s="7" t="inlineStr">
        <is>
          <t>SGA</t>
        </is>
      </c>
      <c r="D593" s="7" t="inlineStr">
        <is>
          <t>2022</t>
        </is>
      </c>
      <c r="E593" s="7" t="n">
        <v>1</v>
      </c>
      <c r="F593" s="8" t="n">
        <v>45583</v>
      </c>
      <c r="G593" s="7" t="inlineStr">
        <is>
          <t>DANIEL EDUARDO SOTO BERNAL</t>
        </is>
      </c>
      <c r="H593" s="14" t="n">
        <v>2</v>
      </c>
      <c r="I593" s="15">
        <f>IF(H593="","",H593/2)</f>
        <v/>
      </c>
      <c r="J593" s="7">
        <f>IF(H593="",0,IF(SUMPRODUCT((Seguimientos!$A$2:$A$1013=A593)*(Seguimientos!$F$2:$F$1013=F593)*(Seguimientos!$B$2:$B$1013&gt;B593)*(Seguimientos!$H$2:$H$1013&lt;&gt;""))=0,1,0))</f>
        <v/>
      </c>
      <c r="K593" s="7">
        <f>A593&amp;"|"&amp;B593</f>
        <v/>
      </c>
      <c r="L593" s="13" t="inlineStr">
        <is>
          <t>Actividad cumplida</t>
        </is>
      </c>
    </row>
    <row r="594">
      <c r="A594" s="7" t="inlineStr">
        <is>
          <t>sga-2022-1</t>
        </is>
      </c>
      <c r="B594" s="7" t="n">
        <v>6</v>
      </c>
      <c r="C594" s="7" t="inlineStr">
        <is>
          <t>SGA</t>
        </is>
      </c>
      <c r="D594" s="7" t="inlineStr">
        <is>
          <t>2022</t>
        </is>
      </c>
      <c r="E594" s="7" t="n">
        <v>1</v>
      </c>
      <c r="F594" s="8" t="n">
        <v>45838</v>
      </c>
      <c r="G594" s="7" t="inlineStr">
        <is>
          <t>DANIEL EDUARDO SOTO BERNAL</t>
        </is>
      </c>
      <c r="H594" s="14" t="n">
        <v>2</v>
      </c>
      <c r="I594" s="15">
        <f>IF(H594="","",H594/2)</f>
        <v/>
      </c>
      <c r="J594" s="7">
        <f>IF(H594="",0,IF(SUMPRODUCT((Seguimientos!$A$2:$A$1013=A594)*(Seguimientos!$F$2:$F$1013=F594)*(Seguimientos!$B$2:$B$1013&gt;B594)*(Seguimientos!$H$2:$H$1013&lt;&gt;""))=0,1,0))</f>
        <v/>
      </c>
      <c r="K594" s="7">
        <f>A594&amp;"|"&amp;B594</f>
        <v/>
      </c>
      <c r="L594" s="13" t="inlineStr">
        <is>
          <t>Actividad cumplida</t>
        </is>
      </c>
    </row>
    <row r="595">
      <c r="A595" s="7" t="inlineStr">
        <is>
          <t>sga-2022-1</t>
        </is>
      </c>
      <c r="B595" s="7" t="n">
        <v>7</v>
      </c>
      <c r="C595" s="7" t="inlineStr">
        <is>
          <t>SGA</t>
        </is>
      </c>
      <c r="D595" s="7" t="inlineStr">
        <is>
          <t>2022</t>
        </is>
      </c>
      <c r="E595" s="7" t="n">
        <v>1</v>
      </c>
      <c r="F595" s="8" t="n">
        <v>45930</v>
      </c>
      <c r="G595" s="7" t="inlineStr">
        <is>
          <t>JOAN IMAYINNE GALVIS MORENO</t>
        </is>
      </c>
      <c r="H595" s="14" t="n">
        <v>2</v>
      </c>
      <c r="I595" s="15">
        <f>IF(H595="","",H595/2)</f>
        <v/>
      </c>
      <c r="J595" s="7">
        <f>IF(H595="",0,IF(SUMPRODUCT((Seguimientos!$A$2:$A$1013=A595)*(Seguimientos!$F$2:$F$1013=F595)*(Seguimientos!$B$2:$B$1013&gt;B595)*(Seguimientos!$H$2:$H$1013&lt;&gt;""))=0,1,0))</f>
        <v/>
      </c>
      <c r="K595" s="7">
        <f>A595&amp;"|"&amp;B595</f>
        <v/>
      </c>
      <c r="L595" s="13" t="inlineStr">
        <is>
          <t>Actividad cumplida</t>
        </is>
      </c>
    </row>
    <row r="596">
      <c r="A596" s="7" t="inlineStr">
        <is>
          <t>sga-2022-1</t>
        </is>
      </c>
      <c r="B596" s="7" t="n">
        <v>8</v>
      </c>
      <c r="C596" s="7" t="inlineStr">
        <is>
          <t>SGA</t>
        </is>
      </c>
      <c r="D596" s="7" t="inlineStr">
        <is>
          <t>2022</t>
        </is>
      </c>
      <c r="E596" s="7" t="n">
        <v>1</v>
      </c>
      <c r="F596" s="8" t="n">
        <v>46053</v>
      </c>
      <c r="G596" s="7" t="inlineStr">
        <is>
          <t>JOAN IMAYINNE GALVIS MORENO</t>
        </is>
      </c>
      <c r="H596" s="14" t="n">
        <v>2</v>
      </c>
      <c r="I596" s="15">
        <f>IF(H596="","",H596/2)</f>
        <v/>
      </c>
      <c r="J596" s="7">
        <f>IF(H596="",0,IF(SUMPRODUCT((Seguimientos!$A$2:$A$1013=A596)*(Seguimientos!$F$2:$F$1013=F596)*(Seguimientos!$B$2:$B$1013&gt;B596)*(Seguimientos!$H$2:$H$1013&lt;&gt;""))=0,1,0))</f>
        <v/>
      </c>
      <c r="K596" s="7">
        <f>A596&amp;"|"&amp;B596</f>
        <v/>
      </c>
      <c r="L596" s="13" t="inlineStr">
        <is>
          <t>Actividad cumplida</t>
        </is>
      </c>
    </row>
    <row r="597">
      <c r="A597" s="7" t="inlineStr">
        <is>
          <t>sga-2022-2</t>
        </is>
      </c>
      <c r="B597" s="7" t="n">
        <v>1</v>
      </c>
      <c r="C597" s="7" t="inlineStr">
        <is>
          <t>SGA</t>
        </is>
      </c>
      <c r="D597" s="7" t="inlineStr">
        <is>
          <t>2022</t>
        </is>
      </c>
      <c r="E597" s="7" t="n">
        <v>2</v>
      </c>
      <c r="F597" s="8" t="n">
        <v>45133</v>
      </c>
      <c r="G597" s="7" t="inlineStr">
        <is>
          <t>DANIEL EDUARDO SOTO BERNAL</t>
        </is>
      </c>
      <c r="H597" s="14" t="n">
        <v>2</v>
      </c>
      <c r="I597" s="15">
        <f>IF(H597="","",H597/2)</f>
        <v/>
      </c>
      <c r="J597" s="7">
        <f>IF(H597="",0,IF(SUMPRODUCT((Seguimientos!$A$2:$A$1013=A597)*(Seguimientos!$F$2:$F$1013=F597)*(Seguimientos!$B$2:$B$1013&gt;B597)*(Seguimientos!$H$2:$H$1013&lt;&gt;""))=0,1,0))</f>
        <v/>
      </c>
      <c r="K597" s="7">
        <f>A597&amp;"|"&amp;B597</f>
        <v/>
      </c>
      <c r="L597" s="13" t="inlineStr">
        <is>
          <t>2.1. Contratación del equipo del Sistema de Gestión Ambiental: Contratación de 6 OPS a un término de 11 meses para la vigencia 2023. • OPS 025 Sede Fusagasugá • OPS 022 Sede Fusagasugá • OPS 016 Seccional Girardot • OPS 010 Oficinas Bogotá y Extensión Soacha • OPS 018 Extensión Ubaté • OPS 051 Extensión Chía y Extensión Zipaquirá 2.2. Se contrató a un profesional con la OPS 022 para cubrir las necesidades de apoyo de la Sede Fusagasugá la cual incluye el CAD y la Unidad Agroambiental La Esperanza.</t>
        </is>
      </c>
    </row>
    <row r="598">
      <c r="A598" s="7" t="inlineStr">
        <is>
          <t>sga-2022-2</t>
        </is>
      </c>
      <c r="B598" s="7" t="n">
        <v>2</v>
      </c>
      <c r="C598" s="7" t="inlineStr">
        <is>
          <t>SGA</t>
        </is>
      </c>
      <c r="D598" s="7" t="inlineStr">
        <is>
          <t>2022</t>
        </is>
      </c>
      <c r="E598" s="7" t="n">
        <v>2</v>
      </c>
      <c r="F598" s="8" t="n">
        <v>45245</v>
      </c>
      <c r="G598" s="7" t="inlineStr">
        <is>
          <t>DANIEL EDUARDO SOTO BERNAL</t>
        </is>
      </c>
      <c r="H598" s="14" t="n">
        <v>2</v>
      </c>
      <c r="I598" s="15">
        <f>IF(H598="","",H598/2)</f>
        <v/>
      </c>
      <c r="J598" s="7">
        <f>IF(H598="",0,IF(SUMPRODUCT((Seguimientos!$A$2:$A$1013=A598)*(Seguimientos!$F$2:$F$1013=F598)*(Seguimientos!$B$2:$B$1013&gt;B598)*(Seguimientos!$H$2:$H$1013&lt;&gt;""))=0,1,0))</f>
        <v/>
      </c>
      <c r="K598" s="7">
        <f>A598&amp;"|"&amp;B598</f>
        <v/>
      </c>
      <c r="L598" s="13" t="inlineStr">
        <is>
          <t>Actividad cumplida</t>
        </is>
      </c>
    </row>
    <row r="599">
      <c r="A599" s="7" t="inlineStr">
        <is>
          <t>sga-2022-2</t>
        </is>
      </c>
      <c r="B599" s="7" t="n">
        <v>3</v>
      </c>
      <c r="C599" s="7" t="inlineStr">
        <is>
          <t>SGA</t>
        </is>
      </c>
      <c r="D599" s="7" t="inlineStr">
        <is>
          <t>2022</t>
        </is>
      </c>
      <c r="E599" s="7" t="n">
        <v>2</v>
      </c>
      <c r="F599" s="8" t="n">
        <v>45405</v>
      </c>
      <c r="G599" s="7" t="inlineStr">
        <is>
          <t>DANIEL EDUARDO SOTO BERNAL</t>
        </is>
      </c>
      <c r="H599" s="14" t="n">
        <v>2</v>
      </c>
      <c r="I599" s="15">
        <f>IF(H599="","",H599/2)</f>
        <v/>
      </c>
      <c r="J599" s="7">
        <f>IF(H599="",0,IF(SUMPRODUCT((Seguimientos!$A$2:$A$1013=A599)*(Seguimientos!$F$2:$F$1013=F599)*(Seguimientos!$B$2:$B$1013&gt;B599)*(Seguimientos!$H$2:$H$1013&lt;&gt;""))=0,1,0))</f>
        <v/>
      </c>
      <c r="K599" s="7">
        <f>A599&amp;"|"&amp;B599</f>
        <v/>
      </c>
      <c r="L599" s="13" t="inlineStr">
        <is>
          <t>Actividad cumplida</t>
        </is>
      </c>
    </row>
    <row r="600">
      <c r="A600" s="7" t="inlineStr">
        <is>
          <t>sga-2022-2</t>
        </is>
      </c>
      <c r="B600" s="7" t="n">
        <v>4</v>
      </c>
      <c r="C600" s="7" t="inlineStr">
        <is>
          <t>SGA</t>
        </is>
      </c>
      <c r="D600" s="7" t="inlineStr">
        <is>
          <t>2022</t>
        </is>
      </c>
      <c r="E600" s="7" t="n">
        <v>2</v>
      </c>
      <c r="F600" s="8" t="n">
        <v>45497</v>
      </c>
      <c r="G600" s="7" t="inlineStr">
        <is>
          <t>DANIEL EDUARDO SOTO BERNAL</t>
        </is>
      </c>
      <c r="H600" s="14" t="n">
        <v>2</v>
      </c>
      <c r="I600" s="15">
        <f>IF(H600="","",H600/2)</f>
        <v/>
      </c>
      <c r="J600" s="7">
        <f>IF(H600="",0,IF(SUMPRODUCT((Seguimientos!$A$2:$A$1013=A600)*(Seguimientos!$F$2:$F$1013=F600)*(Seguimientos!$B$2:$B$1013&gt;B600)*(Seguimientos!$H$2:$H$1013&lt;&gt;""))=0,1,0))</f>
        <v/>
      </c>
      <c r="K600" s="7">
        <f>A600&amp;"|"&amp;B600</f>
        <v/>
      </c>
      <c r="L600" s="13" t="inlineStr">
        <is>
          <t>Actividad cumplida</t>
        </is>
      </c>
    </row>
    <row r="601">
      <c r="A601" s="7" t="inlineStr">
        <is>
          <t>sga-2022-2</t>
        </is>
      </c>
      <c r="B601" s="7" t="n">
        <v>5</v>
      </c>
      <c r="C601" s="7" t="inlineStr">
        <is>
          <t>SGA</t>
        </is>
      </c>
      <c r="D601" s="7" t="inlineStr">
        <is>
          <t>2022</t>
        </is>
      </c>
      <c r="E601" s="7" t="n">
        <v>2</v>
      </c>
      <c r="F601" s="8" t="n">
        <v>45583</v>
      </c>
      <c r="G601" s="7" t="inlineStr">
        <is>
          <t>DANIEL EDUARDO SOTO BERNAL</t>
        </is>
      </c>
      <c r="H601" s="14" t="n">
        <v>2</v>
      </c>
      <c r="I601" s="15">
        <f>IF(H601="","",H601/2)</f>
        <v/>
      </c>
      <c r="J601" s="7">
        <f>IF(H601="",0,IF(SUMPRODUCT((Seguimientos!$A$2:$A$1013=A601)*(Seguimientos!$F$2:$F$1013=F601)*(Seguimientos!$B$2:$B$1013&gt;B601)*(Seguimientos!$H$2:$H$1013&lt;&gt;""))=0,1,0))</f>
        <v/>
      </c>
      <c r="K601" s="7">
        <f>A601&amp;"|"&amp;B601</f>
        <v/>
      </c>
      <c r="L601" s="13" t="inlineStr">
        <is>
          <t>Actividad cumplida</t>
        </is>
      </c>
    </row>
    <row r="602">
      <c r="A602" s="7" t="inlineStr">
        <is>
          <t>sga-2022-2</t>
        </is>
      </c>
      <c r="B602" s="7" t="n">
        <v>6</v>
      </c>
      <c r="C602" s="7" t="inlineStr">
        <is>
          <t>SGA</t>
        </is>
      </c>
      <c r="D602" s="7" t="inlineStr">
        <is>
          <t>2022</t>
        </is>
      </c>
      <c r="E602" s="7" t="n">
        <v>2</v>
      </c>
      <c r="F602" s="8" t="n">
        <v>45838</v>
      </c>
      <c r="G602" s="7" t="inlineStr">
        <is>
          <t>DANIEL EDUARDO SOTO BERNAL</t>
        </is>
      </c>
      <c r="H602" s="14" t="n">
        <v>2</v>
      </c>
      <c r="I602" s="15">
        <f>IF(H602="","",H602/2)</f>
        <v/>
      </c>
      <c r="J602" s="7">
        <f>IF(H602="",0,IF(SUMPRODUCT((Seguimientos!$A$2:$A$1013=A602)*(Seguimientos!$F$2:$F$1013=F602)*(Seguimientos!$B$2:$B$1013&gt;B602)*(Seguimientos!$H$2:$H$1013&lt;&gt;""))=0,1,0))</f>
        <v/>
      </c>
      <c r="K602" s="7">
        <f>A602&amp;"|"&amp;B602</f>
        <v/>
      </c>
      <c r="L602" s="13" t="inlineStr">
        <is>
          <t>Actividad cumplida</t>
        </is>
      </c>
    </row>
    <row r="603">
      <c r="A603" s="7" t="inlineStr">
        <is>
          <t>sga-2022-2</t>
        </is>
      </c>
      <c r="B603" s="7" t="n">
        <v>7</v>
      </c>
      <c r="C603" s="7" t="inlineStr">
        <is>
          <t>SGA</t>
        </is>
      </c>
      <c r="D603" s="7" t="inlineStr">
        <is>
          <t>2022</t>
        </is>
      </c>
      <c r="E603" s="7" t="n">
        <v>2</v>
      </c>
      <c r="F603" s="8" t="n">
        <v>45930</v>
      </c>
      <c r="G603" s="7" t="inlineStr">
        <is>
          <t>JOAN IMAYINNE GALVIS MORENO</t>
        </is>
      </c>
      <c r="H603" s="14" t="n">
        <v>2</v>
      </c>
      <c r="I603" s="15">
        <f>IF(H603="","",H603/2)</f>
        <v/>
      </c>
      <c r="J603" s="7">
        <f>IF(H603="",0,IF(SUMPRODUCT((Seguimientos!$A$2:$A$1013=A603)*(Seguimientos!$F$2:$F$1013=F603)*(Seguimientos!$B$2:$B$1013&gt;B603)*(Seguimientos!$H$2:$H$1013&lt;&gt;""))=0,1,0))</f>
        <v/>
      </c>
      <c r="K603" s="7">
        <f>A603&amp;"|"&amp;B603</f>
        <v/>
      </c>
      <c r="L603" s="13" t="inlineStr">
        <is>
          <t>Actividad cumplida</t>
        </is>
      </c>
    </row>
    <row r="604">
      <c r="A604" s="7" t="inlineStr">
        <is>
          <t>sga-2022-2</t>
        </is>
      </c>
      <c r="B604" s="7" t="n">
        <v>8</v>
      </c>
      <c r="C604" s="7" t="inlineStr">
        <is>
          <t>SGA</t>
        </is>
      </c>
      <c r="D604" s="7" t="inlineStr">
        <is>
          <t>2022</t>
        </is>
      </c>
      <c r="E604" s="7" t="n">
        <v>2</v>
      </c>
      <c r="F604" s="8" t="n">
        <v>46053</v>
      </c>
      <c r="G604" s="7" t="inlineStr">
        <is>
          <t>JOAN IMAYINNE GALVIS MORENO</t>
        </is>
      </c>
      <c r="H604" s="14" t="n">
        <v>2</v>
      </c>
      <c r="I604" s="15">
        <f>IF(H604="","",H604/2)</f>
        <v/>
      </c>
      <c r="J604" s="7">
        <f>IF(H604="",0,IF(SUMPRODUCT((Seguimientos!$A$2:$A$1013=A604)*(Seguimientos!$F$2:$F$1013=F604)*(Seguimientos!$B$2:$B$1013&gt;B604)*(Seguimientos!$H$2:$H$1013&lt;&gt;""))=0,1,0))</f>
        <v/>
      </c>
      <c r="K604" s="7">
        <f>A604&amp;"|"&amp;B604</f>
        <v/>
      </c>
      <c r="L604" s="13" t="inlineStr">
        <is>
          <t>Actividad cumplida</t>
        </is>
      </c>
    </row>
    <row r="605">
      <c r="A605" s="7" t="inlineStr">
        <is>
          <t>sga-2022-3</t>
        </is>
      </c>
      <c r="B605" s="7" t="n">
        <v>1</v>
      </c>
      <c r="C605" s="7" t="inlineStr">
        <is>
          <t>SGA</t>
        </is>
      </c>
      <c r="D605" s="7" t="inlineStr">
        <is>
          <t>2022</t>
        </is>
      </c>
      <c r="E605" s="7" t="n">
        <v>3</v>
      </c>
      <c r="F605" s="8" t="n">
        <v>45133</v>
      </c>
      <c r="G605" s="7" t="inlineStr">
        <is>
          <t>DANIEL EDUARDO SOTO BERNAL</t>
        </is>
      </c>
      <c r="H605" s="14" t="n">
        <v>1.5</v>
      </c>
      <c r="I605" s="15">
        <f>IF(H605="","",H605/2)</f>
        <v/>
      </c>
      <c r="J605" s="7">
        <f>IF(H605="",0,IF(SUMPRODUCT((Seguimientos!$A$2:$A$1013=A605)*(Seguimientos!$F$2:$F$1013=F605)*(Seguimientos!$B$2:$B$1013&gt;B605)*(Seguimientos!$H$2:$H$1013&lt;&gt;""))=0,1,0))</f>
        <v/>
      </c>
      <c r="K605" s="7">
        <f>A605&amp;"|"&amp;B605</f>
        <v/>
      </c>
      <c r="L605" s="13" t="inlineStr">
        <is>
          <t>3.1. Se gestiona la contratación de la auditoría interna del SGA de forma combinada con el SGC y el SGSST para el cubrimiento del 100% de las Sedes bajo el contrato F-OCS-103 2023. 3.2. Se gestiona con el ente certificador la cotización para el seguimiento de la certificación ISO 14001 para la Seccional Girardot y la Extensión Facatativá incluyendo su Unidad Agroambiental; y la ampliación del alcance para el resto de las sedes contemplando las proyectadas: Seccional Ubaté y Extensión de Chía.</t>
        </is>
      </c>
    </row>
    <row r="606">
      <c r="A606" s="7" t="inlineStr">
        <is>
          <t>sga-2022-3</t>
        </is>
      </c>
      <c r="B606" s="7" t="n">
        <v>2</v>
      </c>
      <c r="C606" s="7" t="inlineStr">
        <is>
          <t>SGA</t>
        </is>
      </c>
      <c r="D606" s="7" t="inlineStr">
        <is>
          <t>2022</t>
        </is>
      </c>
      <c r="E606" s="7" t="n">
        <v>3</v>
      </c>
      <c r="F606" s="8" t="n">
        <v>45245</v>
      </c>
      <c r="G606" s="7" t="inlineStr">
        <is>
          <t>DANIEL EDUARDO SOTO BERNAL</t>
        </is>
      </c>
      <c r="H606" s="14" t="n">
        <v>1.5</v>
      </c>
      <c r="I606" s="15">
        <f>IF(H606="","",H606/2)</f>
        <v/>
      </c>
      <c r="J606" s="7">
        <f>IF(H606="",0,IF(SUMPRODUCT((Seguimientos!$A$2:$A$1013=A606)*(Seguimientos!$F$2:$F$1013=F606)*(Seguimientos!$B$2:$B$1013&gt;B606)*(Seguimientos!$H$2:$H$1013&lt;&gt;""))=0,1,0))</f>
        <v/>
      </c>
      <c r="K606" s="7">
        <f>A606&amp;"|"&amp;B606</f>
        <v/>
      </c>
      <c r="L606" s="13" t="inlineStr">
        <is>
          <t>3.1. Se gestiona la contratación de la auditoría interna del SGA de forma combinada con el SGC y el SGSST para el cubrimiento del 100% de las Sedes bajo el contrato F-OCS-103 2023. 3.2. Se gestiona con la contratación para el seguimiento de la certificación ISO 14001 para la Seccional Girardot y la Extensión Facatativá incluyendo su Unidad Agroambiental, y la ampliación del alcance para el 100% de las sedes contemplando las proyectadas: Seccional Ubaté y Extensión de Chía. De acuerdo al corte de revisión, se está espera que se emita el informe final consolidado de auditoría del sistema de Gestión Ambiental para dar finalidad a esta actividad por lo que mantiene una calificación de 1,5.</t>
        </is>
      </c>
    </row>
    <row r="607">
      <c r="A607" s="7" t="inlineStr">
        <is>
          <t>sga-2022-3</t>
        </is>
      </c>
      <c r="B607" s="7" t="n">
        <v>3</v>
      </c>
      <c r="C607" s="7" t="inlineStr">
        <is>
          <t>SGA</t>
        </is>
      </c>
      <c r="D607" s="7" t="inlineStr">
        <is>
          <t>2022</t>
        </is>
      </c>
      <c r="E607" s="7" t="n">
        <v>3</v>
      </c>
      <c r="F607" s="8" t="n">
        <v>45405</v>
      </c>
      <c r="G607" s="7" t="inlineStr">
        <is>
          <t>DANIEL EDUARDO SOTO BERNAL</t>
        </is>
      </c>
      <c r="H607" s="14" t="n">
        <v>1.5</v>
      </c>
      <c r="I607" s="15">
        <f>IF(H607="","",H607/2)</f>
        <v/>
      </c>
      <c r="J607" s="7">
        <f>IF(H607="",0,IF(SUMPRODUCT((Seguimientos!$A$2:$A$1013=A607)*(Seguimientos!$F$2:$F$1013=F607)*(Seguimientos!$B$2:$B$1013&gt;B607)*(Seguimientos!$H$2:$H$1013&lt;&gt;""))=0,1,0))</f>
        <v/>
      </c>
      <c r="K607" s="7">
        <f>A607&amp;"|"&amp;B607</f>
        <v/>
      </c>
      <c r="L607" s="13" t="inlineStr">
        <is>
          <t>Pendiente adjuntar informes de auditoria.</t>
        </is>
      </c>
    </row>
    <row r="608">
      <c r="A608" s="7" t="inlineStr">
        <is>
          <t>sga-2022-3</t>
        </is>
      </c>
      <c r="B608" s="7" t="n">
        <v>4</v>
      </c>
      <c r="C608" s="7" t="inlineStr">
        <is>
          <t>SGA</t>
        </is>
      </c>
      <c r="D608" s="7" t="inlineStr">
        <is>
          <t>2022</t>
        </is>
      </c>
      <c r="E608" s="7" t="n">
        <v>3</v>
      </c>
      <c r="F608" s="8" t="n">
        <v>45497</v>
      </c>
      <c r="G608" s="7" t="inlineStr">
        <is>
          <t>DANIEL EDUARDO SOTO BERNAL</t>
        </is>
      </c>
      <c r="H608" s="14" t="n">
        <v>1.5</v>
      </c>
      <c r="I608" s="15">
        <f>IF(H608="","",H608/2)</f>
        <v/>
      </c>
      <c r="J608" s="7">
        <f>IF(H608="",0,IF(SUMPRODUCT((Seguimientos!$A$2:$A$1013=A608)*(Seguimientos!$F$2:$F$1013=F608)*(Seguimientos!$B$2:$B$1013&gt;B608)*(Seguimientos!$H$2:$H$1013&lt;&gt;""))=0,1,0))</f>
        <v/>
      </c>
      <c r="K608" s="7">
        <f>A608&amp;"|"&amp;B608</f>
        <v/>
      </c>
      <c r="L608" s="13" t="inlineStr">
        <is>
          <t>3.1. Se gestiona la contratación de la auditoría interna del SGA de forma combinada con el SGC y el SGSST para el cubrimiento del 100% de las Sedes bajo el contrato F-OCS-103 2023. 3.2. Se gestiona con la contratación para el seguimiento de la certificación ISO 14001 para la Seccional Girardot y la Extensión Facatativá incluyendo su Unidad Agroambiental, y la ampliación del alcance para el 100% de las sedes contemplando las proyectadas: Seccional Ubaté y Extensión de Chía. De acuerdo al corte de revisión, se está espera que se emita el informe final consolidado de auditoría del sistema de Gestión Ambiental para dar finalidad a esta actividad por lo que mantiene una calificación de 1,5.</t>
        </is>
      </c>
    </row>
    <row r="609">
      <c r="A609" s="7" t="inlineStr">
        <is>
          <t>sga-2022-3</t>
        </is>
      </c>
      <c r="B609" s="7" t="n">
        <v>5</v>
      </c>
      <c r="C609" s="7" t="inlineStr">
        <is>
          <t>SGA</t>
        </is>
      </c>
      <c r="D609" s="7" t="inlineStr">
        <is>
          <t>2022</t>
        </is>
      </c>
      <c r="E609" s="7" t="n">
        <v>3</v>
      </c>
      <c r="F609" s="8" t="n">
        <v>45583</v>
      </c>
      <c r="G609" s="7" t="inlineStr">
        <is>
          <t>DANIEL EDUARDO SOTO BERNAL</t>
        </is>
      </c>
      <c r="H609" s="14" t="n">
        <v>1.5</v>
      </c>
      <c r="I609" s="15">
        <f>IF(H609="","",H609/2)</f>
        <v/>
      </c>
      <c r="J609" s="7">
        <f>IF(H609="",0,IF(SUMPRODUCT((Seguimientos!$A$2:$A$1013=A609)*(Seguimientos!$F$2:$F$1013=F609)*(Seguimientos!$B$2:$B$1013&gt;B609)*(Seguimientos!$H$2:$H$1013&lt;&gt;""))=0,1,0))</f>
        <v/>
      </c>
      <c r="K609" s="7">
        <f>A609&amp;"|"&amp;B609</f>
        <v/>
      </c>
      <c r="L609" s="13" t="inlineStr">
        <is>
          <t>No presenta avance</t>
        </is>
      </c>
    </row>
    <row r="610">
      <c r="A610" s="7" t="inlineStr">
        <is>
          <t>sga-2022-3</t>
        </is>
      </c>
      <c r="B610" s="7" t="n">
        <v>6</v>
      </c>
      <c r="C610" s="7" t="inlineStr">
        <is>
          <t>SGA</t>
        </is>
      </c>
      <c r="D610" s="7" t="inlineStr">
        <is>
          <t>2022</t>
        </is>
      </c>
      <c r="E610" s="7" t="n">
        <v>3</v>
      </c>
      <c r="F610" s="8" t="n">
        <v>45838</v>
      </c>
      <c r="G610" s="7" t="inlineStr">
        <is>
          <t>DANIEL EDUARDO SOTO BERNAL</t>
        </is>
      </c>
      <c r="H610" s="14" t="n">
        <v>2</v>
      </c>
      <c r="I610" s="15">
        <f>IF(H610="","",H610/2)</f>
        <v/>
      </c>
      <c r="J610" s="7">
        <f>IF(H610="",0,IF(SUMPRODUCT((Seguimientos!$A$2:$A$1013=A610)*(Seguimientos!$F$2:$F$1013=F610)*(Seguimientos!$B$2:$B$1013&gt;B610)*(Seguimientos!$H$2:$H$1013&lt;&gt;""))=0,1,0))</f>
        <v/>
      </c>
      <c r="K610" s="7">
        <f>A610&amp;"|"&amp;B610</f>
        <v/>
      </c>
      <c r="L610" s="13" t="inlineStr">
        <is>
          <t>El Sistema de Gestión Ambiental ESGA anexa el informe de auditoría que se realizó a los sistemas de gestión, Objeto “Verificar la conformidad del Sistema de Gestión Ambiental bajo la norma ISO 14001:2015 en la Universidad de Cundinamarca para el año 2024 en el alcance establecido”. con fecha final de presentación 20 - 12 - 2024 con el siguiente alcance de auditoría: La auditoría del Sistema de Gestión Ambiental consideró en el alcance la Sede Fusagasugá; Seccional Ubaté, Seccional Girardot; Extensión Soacha, Extensión Chía, Extensión Zipaquirá, Extensión Facatativá; Oficina Bogotá; Centro Académico Deportivo – CAD; Unidad Agroambiental La Esperanza, Unidad Agroambiental El Tíbar, Unidad Agroambiental El Vergel. Dando cierre a esta actividad de la vig 2022.</t>
        </is>
      </c>
    </row>
    <row r="611">
      <c r="A611" s="7" t="inlineStr">
        <is>
          <t>sga-2022-3</t>
        </is>
      </c>
      <c r="B611" s="7" t="n">
        <v>7</v>
      </c>
      <c r="C611" s="7" t="inlineStr">
        <is>
          <t>SGA</t>
        </is>
      </c>
      <c r="D611" s="7" t="inlineStr">
        <is>
          <t>2022</t>
        </is>
      </c>
      <c r="E611" s="7" t="n">
        <v>3</v>
      </c>
      <c r="F611" s="8" t="n">
        <v>45930</v>
      </c>
      <c r="G611" s="7" t="inlineStr">
        <is>
          <t>JOAN IMAYINNE GALVIS MORENO</t>
        </is>
      </c>
      <c r="H611" s="14" t="n">
        <v>2</v>
      </c>
      <c r="I611" s="15">
        <f>IF(H611="","",H611/2)</f>
        <v/>
      </c>
      <c r="J611" s="7">
        <f>IF(H611="",0,IF(SUMPRODUCT((Seguimientos!$A$2:$A$1013=A611)*(Seguimientos!$F$2:$F$1013=F611)*(Seguimientos!$B$2:$B$1013&gt;B611)*(Seguimientos!$H$2:$H$1013&lt;&gt;""))=0,1,0))</f>
        <v/>
      </c>
      <c r="K611" s="7">
        <f>A611&amp;"|"&amp;B611</f>
        <v/>
      </c>
      <c r="L611" s="13" t="inlineStr">
        <is>
          <t>Actividad cumplida</t>
        </is>
      </c>
    </row>
    <row r="612">
      <c r="A612" s="7" t="inlineStr">
        <is>
          <t>sga-2022-3</t>
        </is>
      </c>
      <c r="B612" s="7" t="n">
        <v>8</v>
      </c>
      <c r="C612" s="7" t="inlineStr">
        <is>
          <t>SGA</t>
        </is>
      </c>
      <c r="D612" s="7" t="inlineStr">
        <is>
          <t>2022</t>
        </is>
      </c>
      <c r="E612" s="7" t="n">
        <v>3</v>
      </c>
      <c r="F612" s="8" t="n">
        <v>46053</v>
      </c>
      <c r="G612" s="7" t="inlineStr">
        <is>
          <t>JOAN IMAYINNE GALVIS MORENO</t>
        </is>
      </c>
      <c r="H612" s="14" t="n">
        <v>2</v>
      </c>
      <c r="I612" s="15">
        <f>IF(H612="","",H612/2)</f>
        <v/>
      </c>
      <c r="J612" s="7">
        <f>IF(H612="",0,IF(SUMPRODUCT((Seguimientos!$A$2:$A$1013=A612)*(Seguimientos!$F$2:$F$1013=F612)*(Seguimientos!$B$2:$B$1013&gt;B612)*(Seguimientos!$H$2:$H$1013&lt;&gt;""))=0,1,0))</f>
        <v/>
      </c>
      <c r="K612" s="7">
        <f>A612&amp;"|"&amp;B612</f>
        <v/>
      </c>
      <c r="L612" s="13" t="inlineStr">
        <is>
          <t>Actividad cumplida</t>
        </is>
      </c>
    </row>
    <row r="613">
      <c r="A613" s="7" t="inlineStr">
        <is>
          <t>sga-2022-4</t>
        </is>
      </c>
      <c r="B613" s="7" t="n">
        <v>1</v>
      </c>
      <c r="C613" s="7" t="inlineStr">
        <is>
          <t>SGA</t>
        </is>
      </c>
      <c r="D613" s="7" t="inlineStr">
        <is>
          <t>2022</t>
        </is>
      </c>
      <c r="E613" s="7" t="n">
        <v>4</v>
      </c>
      <c r="F613" s="8" t="n">
        <v>45133</v>
      </c>
      <c r="G613" s="7" t="inlineStr">
        <is>
          <t>DANIEL EDUARDO SOTO BERNAL</t>
        </is>
      </c>
      <c r="H613" s="14" t="n">
        <v>1.5</v>
      </c>
      <c r="I613" s="15">
        <f>IF(H613="","",H613/2)</f>
        <v/>
      </c>
      <c r="J613" s="7">
        <f>IF(H613="",0,IF(SUMPRODUCT((Seguimientos!$A$2:$A$1013=A613)*(Seguimientos!$F$2:$F$1013=F613)*(Seguimientos!$B$2:$B$1013&gt;B613)*(Seguimientos!$H$2:$H$1013&lt;&gt;""))=0,1,0))</f>
        <v/>
      </c>
      <c r="K613" s="7">
        <f>A613&amp;"|"&amp;B613</f>
        <v/>
      </c>
      <c r="L613" s="13" t="inlineStr">
        <is>
          <t>4.1. Se remite las hojas de vida del equipo SGA para revisión a la Oficina Gestora de Talento Humano.</t>
        </is>
      </c>
    </row>
    <row r="614">
      <c r="A614" s="7" t="inlineStr">
        <is>
          <t>sga-2022-4</t>
        </is>
      </c>
      <c r="B614" s="7" t="n">
        <v>2</v>
      </c>
      <c r="C614" s="7" t="inlineStr">
        <is>
          <t>SGA</t>
        </is>
      </c>
      <c r="D614" s="7" t="inlineStr">
        <is>
          <t>2022</t>
        </is>
      </c>
      <c r="E614" s="7" t="n">
        <v>4</v>
      </c>
      <c r="F614" s="8" t="n">
        <v>45245</v>
      </c>
      <c r="G614" s="7" t="inlineStr">
        <is>
          <t>DANIEL EDUARDO SOTO BERNAL</t>
        </is>
      </c>
      <c r="H614" s="14" t="n">
        <v>1.5</v>
      </c>
      <c r="I614" s="15">
        <f>IF(H614="","",H614/2)</f>
        <v/>
      </c>
      <c r="J614" s="7">
        <f>IF(H614="",0,IF(SUMPRODUCT((Seguimientos!$A$2:$A$1013=A614)*(Seguimientos!$F$2:$F$1013=F614)*(Seguimientos!$B$2:$B$1013&gt;B614)*(Seguimientos!$H$2:$H$1013&lt;&gt;""))=0,1,0))</f>
        <v/>
      </c>
      <c r="K614" s="7">
        <f>A614&amp;"|"&amp;B614</f>
        <v/>
      </c>
      <c r="L614" s="13" t="inlineStr">
        <is>
          <t>4.1. Se realiza la solicitud de evaluación de las hojas de vida del equipo SGA para revisión de la Oficina Gestora de Talento Humano. (Correos) 4.2 Se remiten las Hojas de Vida de equipo SGA con soportes Por parte de la Dirección de Talento humano no se presenta respuesta alguna.</t>
        </is>
      </c>
    </row>
    <row r="615">
      <c r="A615" s="7" t="inlineStr">
        <is>
          <t>sga-2022-4</t>
        </is>
      </c>
      <c r="B615" s="7" t="n">
        <v>3</v>
      </c>
      <c r="C615" s="7" t="inlineStr">
        <is>
          <t>SGA</t>
        </is>
      </c>
      <c r="D615" s="7" t="inlineStr">
        <is>
          <t>2022</t>
        </is>
      </c>
      <c r="E615" s="7" t="n">
        <v>4</v>
      </c>
      <c r="F615" s="8" t="n">
        <v>45405</v>
      </c>
      <c r="G615" s="7" t="inlineStr">
        <is>
          <t>DANIEL EDUARDO SOTO BERNAL</t>
        </is>
      </c>
      <c r="H615" s="14" t="n">
        <v>1.5</v>
      </c>
      <c r="I615" s="15">
        <f>IF(H615="","",H615/2)</f>
        <v/>
      </c>
      <c r="J615" s="7">
        <f>IF(H615="",0,IF(SUMPRODUCT((Seguimientos!$A$2:$A$1013=A615)*(Seguimientos!$F$2:$F$1013=F615)*(Seguimientos!$B$2:$B$1013&gt;B615)*(Seguimientos!$H$2:$H$1013&lt;&gt;""))=0,1,0))</f>
        <v/>
      </c>
      <c r="K615" s="7">
        <f>A615&amp;"|"&amp;B615</f>
        <v/>
      </c>
      <c r="L615" s="13" t="inlineStr">
        <is>
          <t>Según ultima revisión por la dirección esta actividad no es aprobada debido a que no cumple con el objetivo de garantizar al personal en el SGA.</t>
        </is>
      </c>
    </row>
    <row r="616">
      <c r="A616" s="7" t="inlineStr">
        <is>
          <t>sga-2022-4</t>
        </is>
      </c>
      <c r="B616" s="7" t="n">
        <v>4</v>
      </c>
      <c r="C616" s="7" t="inlineStr">
        <is>
          <t>SGA</t>
        </is>
      </c>
      <c r="D616" s="7" t="inlineStr">
        <is>
          <t>2022</t>
        </is>
      </c>
      <c r="E616" s="7" t="n">
        <v>4</v>
      </c>
      <c r="F616" s="8" t="n">
        <v>45497</v>
      </c>
      <c r="G616" s="7" t="inlineStr">
        <is>
          <t>DANIEL EDUARDO SOTO BERNAL</t>
        </is>
      </c>
      <c r="H616" s="14" t="n">
        <v>1.5</v>
      </c>
      <c r="I616" s="15">
        <f>IF(H616="","",H616/2)</f>
        <v/>
      </c>
      <c r="J616" s="7">
        <f>IF(H616="",0,IF(SUMPRODUCT((Seguimientos!$A$2:$A$1013=A616)*(Seguimientos!$F$2:$F$1013=F616)*(Seguimientos!$B$2:$B$1013&gt;B616)*(Seguimientos!$H$2:$H$1013&lt;&gt;""))=0,1,0))</f>
        <v/>
      </c>
      <c r="K616" s="7">
        <f>A616&amp;"|"&amp;B616</f>
        <v/>
      </c>
      <c r="L616" s="13" t="inlineStr">
        <is>
          <t>4.1. Se realiza la solicitud de evaluación de las hojas de vida del equipo SGA para revisión de la Oficina Gestora de Talento Humano. (Correos) 4.2 Se remiten las Hojas de Vida de equipo SGA con soportes Por parte de la Dirección de Talento humano no se presenta respuesta alguna.</t>
        </is>
      </c>
    </row>
    <row r="617">
      <c r="A617" s="7" t="inlineStr">
        <is>
          <t>sga-2022-4</t>
        </is>
      </c>
      <c r="B617" s="7" t="n">
        <v>5</v>
      </c>
      <c r="C617" s="7" t="inlineStr">
        <is>
          <t>SGA</t>
        </is>
      </c>
      <c r="D617" s="7" t="inlineStr">
        <is>
          <t>2022</t>
        </is>
      </c>
      <c r="E617" s="7" t="n">
        <v>4</v>
      </c>
      <c r="F617" s="8" t="n">
        <v>45583</v>
      </c>
      <c r="G617" s="7" t="inlineStr">
        <is>
          <t>DANIEL EDUARDO SOTO BERNAL</t>
        </is>
      </c>
      <c r="H617" s="14" t="n">
        <v>1.5</v>
      </c>
      <c r="I617" s="15">
        <f>IF(H617="","",H617/2)</f>
        <v/>
      </c>
      <c r="J617" s="7">
        <f>IF(H617="",0,IF(SUMPRODUCT((Seguimientos!$A$2:$A$1013=A617)*(Seguimientos!$F$2:$F$1013=F617)*(Seguimientos!$B$2:$B$1013&gt;B617)*(Seguimientos!$H$2:$H$1013&lt;&gt;""))=0,1,0))</f>
        <v/>
      </c>
      <c r="K617" s="7">
        <f>A617&amp;"|"&amp;B617</f>
        <v/>
      </c>
      <c r="L617" s="13" t="inlineStr">
        <is>
          <t>No presenta avance</t>
        </is>
      </c>
    </row>
    <row r="618">
      <c r="A618" s="7" t="inlineStr">
        <is>
          <t>sga-2022-4</t>
        </is>
      </c>
      <c r="B618" s="7" t="n">
        <v>6</v>
      </c>
      <c r="C618" s="7" t="inlineStr">
        <is>
          <t>SGA</t>
        </is>
      </c>
      <c r="D618" s="7" t="inlineStr">
        <is>
          <t>2022</t>
        </is>
      </c>
      <c r="E618" s="7" t="n">
        <v>4</v>
      </c>
      <c r="F618" s="8" t="n">
        <v>45838</v>
      </c>
      <c r="G618" s="7" t="inlineStr">
        <is>
          <t>DANIEL EDUARDO SOTO BERNAL</t>
        </is>
      </c>
      <c r="H618" s="14" t="n">
        <v>1.5</v>
      </c>
      <c r="I618" s="15">
        <f>IF(H618="","",H618/2)</f>
        <v/>
      </c>
      <c r="J618" s="7">
        <f>IF(H618="",0,IF(SUMPRODUCT((Seguimientos!$A$2:$A$1013=A618)*(Seguimientos!$F$2:$F$1013=F618)*(Seguimientos!$B$2:$B$1013&gt;B618)*(Seguimientos!$H$2:$H$1013&lt;&gt;""))=0,1,0))</f>
        <v/>
      </c>
      <c r="K618" s="7">
        <f>A618&amp;"|"&amp;B618</f>
        <v/>
      </c>
      <c r="L618" s="13" t="inlineStr">
        <is>
          <t>No presenta avance</t>
        </is>
      </c>
    </row>
    <row r="619">
      <c r="A619" s="7" t="inlineStr">
        <is>
          <t>sga-2022-4</t>
        </is>
      </c>
      <c r="B619" s="7" t="n">
        <v>7</v>
      </c>
      <c r="C619" s="7" t="inlineStr">
        <is>
          <t>SGA</t>
        </is>
      </c>
      <c r="D619" s="7" t="inlineStr">
        <is>
          <t>2022</t>
        </is>
      </c>
      <c r="E619" s="7" t="n">
        <v>4</v>
      </c>
      <c r="F619" s="8" t="n">
        <v>45930</v>
      </c>
      <c r="G619" s="7" t="inlineStr">
        <is>
          <t>JOAN IMAYINNE GALVIS MORENO</t>
        </is>
      </c>
      <c r="H619" s="14" t="n">
        <v>1.5</v>
      </c>
      <c r="I619" s="15">
        <f>IF(H619="","",H619/2)</f>
        <v/>
      </c>
      <c r="J619" s="7">
        <f>IF(H619="",0,IF(SUMPRODUCT((Seguimientos!$A$2:$A$1013=A619)*(Seguimientos!$F$2:$F$1013=F619)*(Seguimientos!$B$2:$B$1013&gt;B619)*(Seguimientos!$H$2:$H$1013&lt;&gt;""))=0,1,0))</f>
        <v/>
      </c>
      <c r="K619" s="7">
        <f>A619&amp;"|"&amp;B619</f>
        <v/>
      </c>
      <c r="L619" s="13" t="inlineStr">
        <is>
          <t>No presenta avance</t>
        </is>
      </c>
    </row>
    <row r="620">
      <c r="A620" s="7" t="inlineStr">
        <is>
          <t>sga-2022-4</t>
        </is>
      </c>
      <c r="B620" s="7" t="n">
        <v>8</v>
      </c>
      <c r="C620" s="7" t="inlineStr">
        <is>
          <t>SGA</t>
        </is>
      </c>
      <c r="D620" s="7" t="inlineStr">
        <is>
          <t>2022</t>
        </is>
      </c>
      <c r="E620" s="7" t="n">
        <v>4</v>
      </c>
      <c r="F620" s="8" t="n">
        <v>46053</v>
      </c>
      <c r="G620" s="7" t="inlineStr">
        <is>
          <t>JOAN IMAYINNE GALVIS MORENO</t>
        </is>
      </c>
      <c r="H620" s="14" t="n">
        <v>1.5</v>
      </c>
      <c r="I620" s="15">
        <f>IF(H620="","",H620/2)</f>
        <v/>
      </c>
      <c r="J620" s="7">
        <f>IF(H620="",0,IF(SUMPRODUCT((Seguimientos!$A$2:$A$1013=A620)*(Seguimientos!$F$2:$F$1013=F620)*(Seguimientos!$B$2:$B$1013&gt;B620)*(Seguimientos!$H$2:$H$1013&lt;&gt;""))=0,1,0))</f>
        <v/>
      </c>
      <c r="K620" s="7">
        <f>A620&amp;"|"&amp;B620</f>
        <v/>
      </c>
      <c r="L620" s="13" t="inlineStr">
        <is>
          <t>No presenta avance</t>
        </is>
      </c>
    </row>
    <row r="621">
      <c r="A621" s="7" t="inlineStr">
        <is>
          <t>sga-2022-5</t>
        </is>
      </c>
      <c r="B621" s="7" t="n">
        <v>1</v>
      </c>
      <c r="C621" s="7" t="inlineStr">
        <is>
          <t>SGA</t>
        </is>
      </c>
      <c r="D621" s="7" t="inlineStr">
        <is>
          <t>2022</t>
        </is>
      </c>
      <c r="E621" s="7" t="n">
        <v>5</v>
      </c>
      <c r="F621" s="8" t="n">
        <v>45133</v>
      </c>
      <c r="G621" s="7" t="inlineStr">
        <is>
          <t>DANIEL EDUARDO SOTO BERNAL</t>
        </is>
      </c>
      <c r="H621" s="14" t="n">
        <v>0</v>
      </c>
      <c r="I621" s="15">
        <f>IF(H621="","",H621/2)</f>
        <v/>
      </c>
      <c r="J621" s="7">
        <f>IF(H621="",0,IF(SUMPRODUCT((Seguimientos!$A$2:$A$1013=A621)*(Seguimientos!$F$2:$F$1013=F621)*(Seguimientos!$B$2:$B$1013&gt;B621)*(Seguimientos!$H$2:$H$1013&lt;&gt;""))=0,1,0))</f>
        <v/>
      </c>
      <c r="K621" s="7">
        <f>A621&amp;"|"&amp;B621</f>
        <v/>
      </c>
      <c r="L621" s="13" t="inlineStr">
        <is>
          <t>5.1. Se presenta ante la Comisión de Gestión T1-2023 la propuesta de la actualización de la Política del Sistema de Gestión Ambiental, la cual se denominará Lineamiento de Gestión Ambiental Institucional. Evidencia: Propuesta de actualización de Política del Sistema de Gestión Ambiental y Acta de Comisión de Gestión T1-2023.</t>
        </is>
      </c>
    </row>
    <row r="622">
      <c r="A622" s="7" t="inlineStr">
        <is>
          <t>sga-2022-5</t>
        </is>
      </c>
      <c r="B622" s="7" t="n">
        <v>2</v>
      </c>
      <c r="C622" s="7" t="inlineStr">
        <is>
          <t>SGA</t>
        </is>
      </c>
      <c r="D622" s="7" t="inlineStr">
        <is>
          <t>2022</t>
        </is>
      </c>
      <c r="E622" s="7" t="n">
        <v>5</v>
      </c>
      <c r="F622" s="8" t="n">
        <v>45245</v>
      </c>
      <c r="G622" s="7" t="inlineStr">
        <is>
          <t>DANIEL EDUARDO SOTO BERNAL</t>
        </is>
      </c>
      <c r="H622" s="14" t="n">
        <v>1</v>
      </c>
      <c r="I622" s="15">
        <f>IF(H622="","",H622/2)</f>
        <v/>
      </c>
      <c r="J622" s="7">
        <f>IF(H622="",0,IF(SUMPRODUCT((Seguimientos!$A$2:$A$1013=A622)*(Seguimientos!$F$2:$F$1013=F622)*(Seguimientos!$B$2:$B$1013&gt;B622)*(Seguimientos!$H$2:$H$1013&lt;&gt;""))=0,1,0))</f>
        <v/>
      </c>
      <c r="K622" s="7">
        <f>A622&amp;"|"&amp;B622</f>
        <v/>
      </c>
      <c r="L622" s="13" t="inlineStr">
        <is>
          <t>5.1 Evidencias de gestión de actualización de la Política Ambiental como Lineamiento de Gestión Ambiental Institucional. La universidad de Cundinamarca tiene certificación sin lineamiento, por parte del proceso se ha realizado la gestión evidenciando en remisión de correos, a espera de la aprobación con el borrador hecho y diapositivas donde se cita el punto en cuestión.</t>
        </is>
      </c>
    </row>
    <row r="623">
      <c r="A623" s="7" t="inlineStr">
        <is>
          <t>sga-2022-5</t>
        </is>
      </c>
      <c r="B623" s="7" t="n">
        <v>3</v>
      </c>
      <c r="C623" s="7" t="inlineStr">
        <is>
          <t>SGA</t>
        </is>
      </c>
      <c r="D623" s="7" t="inlineStr">
        <is>
          <t>2022</t>
        </is>
      </c>
      <c r="E623" s="7" t="n">
        <v>5</v>
      </c>
      <c r="F623" s="8" t="n">
        <v>45405</v>
      </c>
      <c r="G623" s="7" t="inlineStr">
        <is>
          <t>DANIEL EDUARDO SOTO BERNAL</t>
        </is>
      </c>
      <c r="H623" s="14" t="n">
        <v>1</v>
      </c>
      <c r="I623" s="15">
        <f>IF(H623="","",H623/2)</f>
        <v/>
      </c>
      <c r="J623" s="7">
        <f>IF(H623="",0,IF(SUMPRODUCT((Seguimientos!$A$2:$A$1013=A623)*(Seguimientos!$F$2:$F$1013=F623)*(Seguimientos!$B$2:$B$1013&gt;B623)*(Seguimientos!$H$2:$H$1013&lt;&gt;""))=0,1,0))</f>
        <v/>
      </c>
      <c r="K623" s="7">
        <f>A623&amp;"|"&amp;B623</f>
        <v/>
      </c>
      <c r="L623" s="13" t="inlineStr">
        <is>
          <t>Se realiza actualización de Política y se remite a la Dirección de Planeación Institucional para su revisión y aprobación, previo envió a la Comisión de Gestión. Actividad que sigue sin avance. Se da continuidad en tareas de Revisión por la Dirección vigencia 2023. DANDO CIERRE A LA SERIE DE ACTIVIDADES DE RXD VIG 2022.</t>
        </is>
      </c>
    </row>
    <row r="624">
      <c r="A624" s="7" t="inlineStr">
        <is>
          <t>sga-2022-5</t>
        </is>
      </c>
      <c r="B624" s="7" t="n">
        <v>4</v>
      </c>
      <c r="C624" s="7" t="inlineStr">
        <is>
          <t>SGA</t>
        </is>
      </c>
      <c r="D624" s="7" t="inlineStr">
        <is>
          <t>2022</t>
        </is>
      </c>
      <c r="E624" s="7" t="n">
        <v>5</v>
      </c>
      <c r="F624" s="8" t="n">
        <v>45497</v>
      </c>
      <c r="G624" s="7" t="inlineStr">
        <is>
          <t>DANIEL EDUARDO SOTO BERNAL</t>
        </is>
      </c>
      <c r="H624" s="14" t="n">
        <v>1</v>
      </c>
      <c r="I624" s="15">
        <f>IF(H624="","",H624/2)</f>
        <v/>
      </c>
      <c r="J624" s="7">
        <f>IF(H624="",0,IF(SUMPRODUCT((Seguimientos!$A$2:$A$1013=A624)*(Seguimientos!$F$2:$F$1013=F624)*(Seguimientos!$B$2:$B$1013&gt;B624)*(Seguimientos!$H$2:$H$1013&lt;&gt;""))=0,1,0))</f>
        <v/>
      </c>
      <c r="K624" s="7">
        <f>A624&amp;"|"&amp;B624</f>
        <v/>
      </c>
      <c r="L624" s="13" t="inlineStr">
        <is>
          <t>5.1 Evidencias de gestión de actualización de la Política Ambiental como Lineamiento de Gestión Ambiental Institucional. La universidad de Cundinamarca tiene certificación sin lineamiento, por parte del proceso se ha realizado la gestión evidenciando en remisión de correos, a espera de la aprobación con el borrador hecho y diapositivas donde se cita el punto en cuestión.</t>
        </is>
      </c>
    </row>
    <row r="625">
      <c r="A625" s="7" t="inlineStr">
        <is>
          <t>sga-2022-5</t>
        </is>
      </c>
      <c r="B625" s="7" t="n">
        <v>5</v>
      </c>
      <c r="C625" s="7" t="inlineStr">
        <is>
          <t>SGA</t>
        </is>
      </c>
      <c r="D625" s="7" t="inlineStr">
        <is>
          <t>2022</t>
        </is>
      </c>
      <c r="E625" s="7" t="n">
        <v>5</v>
      </c>
      <c r="F625" s="8" t="n">
        <v>45583</v>
      </c>
      <c r="G625" s="7" t="inlineStr">
        <is>
          <t>DANIEL EDUARDO SOTO BERNAL</t>
        </is>
      </c>
      <c r="H625" s="14" t="n">
        <v>1</v>
      </c>
      <c r="I625" s="15">
        <f>IF(H625="","",H625/2)</f>
        <v/>
      </c>
      <c r="J625" s="7">
        <f>IF(H625="",0,IF(SUMPRODUCT((Seguimientos!$A$2:$A$1013=A625)*(Seguimientos!$F$2:$F$1013=F625)*(Seguimientos!$B$2:$B$1013&gt;B625)*(Seguimientos!$H$2:$H$1013&lt;&gt;""))=0,1,0))</f>
        <v/>
      </c>
      <c r="K625" s="7">
        <f>A625&amp;"|"&amp;B625</f>
        <v/>
      </c>
      <c r="L625" s="13" t="inlineStr">
        <is>
          <t>No presenta avance</t>
        </is>
      </c>
    </row>
    <row r="626">
      <c r="A626" s="7" t="inlineStr">
        <is>
          <t>sga-2022-5</t>
        </is>
      </c>
      <c r="B626" s="7" t="n">
        <v>6</v>
      </c>
      <c r="C626" s="7" t="inlineStr">
        <is>
          <t>SGA</t>
        </is>
      </c>
      <c r="D626" s="7" t="inlineStr">
        <is>
          <t>2022</t>
        </is>
      </c>
      <c r="E626" s="7" t="n">
        <v>5</v>
      </c>
      <c r="F626" s="8" t="n">
        <v>45838</v>
      </c>
      <c r="G626" s="7" t="inlineStr">
        <is>
          <t>DANIEL EDUARDO SOTO BERNAL</t>
        </is>
      </c>
      <c r="H626" s="14" t="n">
        <v>1.5</v>
      </c>
      <c r="I626" s="15">
        <f>IF(H626="","",H626/2)</f>
        <v/>
      </c>
      <c r="J626" s="7">
        <f>IF(H626="",0,IF(SUMPRODUCT((Seguimientos!$A$2:$A$1013=A626)*(Seguimientos!$F$2:$F$1013=F626)*(Seguimientos!$B$2:$B$1013&gt;B626)*(Seguimientos!$H$2:$H$1013&lt;&gt;""))=0,1,0))</f>
        <v/>
      </c>
      <c r="K626" s="7">
        <f>A626&amp;"|"&amp;B626</f>
        <v/>
      </c>
      <c r="L626" s="13" t="inlineStr">
        <is>
          <t>El Sistema de Gestión Ambiental ESGA anexa documento Borrador de la propuesta política ambiental, al igual trazabilidad de correos desde la alta dirección con observaciones a ella, sin aprobar esta actividad se mantiene abierta para obtener el lineamiento de la política ambiental en la universidad de Cundinamarca.</t>
        </is>
      </c>
    </row>
    <row r="627">
      <c r="A627" s="7" t="inlineStr">
        <is>
          <t>sga-2022-5</t>
        </is>
      </c>
      <c r="B627" s="7" t="n">
        <v>7</v>
      </c>
      <c r="C627" s="7" t="inlineStr">
        <is>
          <t>SGA</t>
        </is>
      </c>
      <c r="D627" s="7" t="inlineStr">
        <is>
          <t>2022</t>
        </is>
      </c>
      <c r="E627" s="7" t="n">
        <v>5</v>
      </c>
      <c r="F627" s="8" t="n">
        <v>45930</v>
      </c>
      <c r="G627" s="7" t="inlineStr">
        <is>
          <t>JOAN IMAYINNE GALVIS MORENO</t>
        </is>
      </c>
      <c r="H627" s="14" t="n">
        <v>1.5</v>
      </c>
      <c r="I627" s="15">
        <f>IF(H627="","",H627/2)</f>
        <v/>
      </c>
      <c r="J627" s="7">
        <f>IF(H627="",0,IF(SUMPRODUCT((Seguimientos!$A$2:$A$1013=A627)*(Seguimientos!$F$2:$F$1013=F627)*(Seguimientos!$B$2:$B$1013&gt;B627)*(Seguimientos!$H$2:$H$1013&lt;&gt;""))=0,1,0))</f>
        <v/>
      </c>
      <c r="K627" s="7">
        <f>A627&amp;"|"&amp;B627</f>
        <v/>
      </c>
      <c r="L627" s="13" t="inlineStr">
        <is>
          <t>No presenta avance</t>
        </is>
      </c>
    </row>
    <row r="628">
      <c r="A628" s="7" t="inlineStr">
        <is>
          <t>sga-2022-5</t>
        </is>
      </c>
      <c r="B628" s="7" t="n">
        <v>8</v>
      </c>
      <c r="C628" s="7" t="inlineStr">
        <is>
          <t>SGA</t>
        </is>
      </c>
      <c r="D628" s="7" t="inlineStr">
        <is>
          <t>2022</t>
        </is>
      </c>
      <c r="E628" s="7" t="n">
        <v>5</v>
      </c>
      <c r="F628" s="8" t="n">
        <v>46053</v>
      </c>
      <c r="G628" s="7" t="inlineStr">
        <is>
          <t>JOAN IMAYINNE GALVIS MORENO</t>
        </is>
      </c>
      <c r="H628" s="14" t="n">
        <v>1.5</v>
      </c>
      <c r="I628" s="15">
        <f>IF(H628="","",H628/2)</f>
        <v/>
      </c>
      <c r="J628" s="7">
        <f>IF(H628="",0,IF(SUMPRODUCT((Seguimientos!$A$2:$A$1013=A628)*(Seguimientos!$F$2:$F$1013=F628)*(Seguimientos!$B$2:$B$1013&gt;B628)*(Seguimientos!$H$2:$H$1013&lt;&gt;""))=0,1,0))</f>
        <v/>
      </c>
      <c r="K628" s="7">
        <f>A628&amp;"|"&amp;B628</f>
        <v/>
      </c>
      <c r="L628" s="13" t="inlineStr">
        <is>
          <t>No presenta avance</t>
        </is>
      </c>
    </row>
    <row r="629">
      <c r="A629" s="7" t="inlineStr">
        <is>
          <t>sga-2022-6</t>
        </is>
      </c>
      <c r="B629" s="7" t="n">
        <v>1</v>
      </c>
      <c r="C629" s="7" t="inlineStr">
        <is>
          <t>SGA</t>
        </is>
      </c>
      <c r="D629" s="7" t="inlineStr">
        <is>
          <t>2022</t>
        </is>
      </c>
      <c r="E629" s="7" t="n">
        <v>6</v>
      </c>
      <c r="F629" s="8" t="n">
        <v>45133</v>
      </c>
      <c r="G629" s="7" t="inlineStr">
        <is>
          <t>DANIEL EDUARDO SOTO BERNAL</t>
        </is>
      </c>
      <c r="H629" s="14" t="n">
        <v>1</v>
      </c>
      <c r="I629" s="15">
        <f>IF(H629="","",H629/2)</f>
        <v/>
      </c>
      <c r="J629" s="7">
        <f>IF(H629="",0,IF(SUMPRODUCT((Seguimientos!$A$2:$A$1013=A629)*(Seguimientos!$F$2:$F$1013=F629)*(Seguimientos!$B$2:$B$1013&gt;B629)*(Seguimientos!$H$2:$H$1013&lt;&gt;""))=0,1,0))</f>
        <v/>
      </c>
      <c r="K629" s="7">
        <f>A629&amp;"|"&amp;B629</f>
        <v/>
      </c>
      <c r="L629" s="13" t="inlineStr">
        <is>
          <t>Inducciones presenciales de estudiantes. Inducciones de estudiantes en los encuentros Dialógicos. Incorporación del módulo Sistemas Integrados de Gestión para el curso de acogida a estudiantes a la vida universitaria con la Oficina de Educación Virtual para la creación.</t>
        </is>
      </c>
    </row>
    <row r="630">
      <c r="A630" s="7" t="inlineStr">
        <is>
          <t>sga-2022-6</t>
        </is>
      </c>
      <c r="B630" s="7" t="n">
        <v>2</v>
      </c>
      <c r="C630" s="7" t="inlineStr">
        <is>
          <t>SGA</t>
        </is>
      </c>
      <c r="D630" s="7" t="inlineStr">
        <is>
          <t>2022</t>
        </is>
      </c>
      <c r="E630" s="7" t="n">
        <v>6</v>
      </c>
      <c r="F630" s="8" t="n">
        <v>45245</v>
      </c>
      <c r="G630" s="7" t="inlineStr">
        <is>
          <t>DANIEL EDUARDO SOTO BERNAL</t>
        </is>
      </c>
      <c r="H630" s="14" t="n">
        <v>2</v>
      </c>
      <c r="I630" s="15">
        <f>IF(H630="","",H630/2)</f>
        <v/>
      </c>
      <c r="J630" s="7">
        <f>IF(H630="",0,IF(SUMPRODUCT((Seguimientos!$A$2:$A$1013=A630)*(Seguimientos!$F$2:$F$1013=F630)*(Seguimientos!$B$2:$B$1013&gt;B630)*(Seguimientos!$H$2:$H$1013&lt;&gt;""))=0,1,0))</f>
        <v/>
      </c>
      <c r="K630" s="7">
        <f>A630&amp;"|"&amp;B630</f>
        <v/>
      </c>
      <c r="L630" s="13" t="inlineStr">
        <is>
          <t>6.1 Evidencias de componente ambiental en espacios presenciales: Registros de inducciones, reinducciones y eventos ambientales 2.Evidencias del módulo SIG de del curso virtual de acogida de estudiantes.</t>
        </is>
      </c>
    </row>
    <row r="631">
      <c r="A631" s="7" t="inlineStr">
        <is>
          <t>sga-2022-6</t>
        </is>
      </c>
      <c r="B631" s="7" t="n">
        <v>3</v>
      </c>
      <c r="C631" s="7" t="inlineStr">
        <is>
          <t>SGA</t>
        </is>
      </c>
      <c r="D631" s="7" t="inlineStr">
        <is>
          <t>2022</t>
        </is>
      </c>
      <c r="E631" s="7" t="n">
        <v>6</v>
      </c>
      <c r="F631" s="8" t="n">
        <v>45405</v>
      </c>
      <c r="G631" s="7" t="inlineStr">
        <is>
          <t>DANIEL EDUARDO SOTO BERNAL</t>
        </is>
      </c>
      <c r="H631" s="14" t="n">
        <v>2</v>
      </c>
      <c r="I631" s="15">
        <f>IF(H631="","",H631/2)</f>
        <v/>
      </c>
      <c r="J631" s="7">
        <f>IF(H631="",0,IF(SUMPRODUCT((Seguimientos!$A$2:$A$1013=A631)*(Seguimientos!$F$2:$F$1013=F631)*(Seguimientos!$B$2:$B$1013&gt;B631)*(Seguimientos!$H$2:$H$1013&lt;&gt;""))=0,1,0))</f>
        <v/>
      </c>
      <c r="K631" s="7">
        <f>A631&amp;"|"&amp;B631</f>
        <v/>
      </c>
      <c r="L631" s="13" t="inlineStr">
        <is>
          <t>Actividad cumplida</t>
        </is>
      </c>
    </row>
    <row r="632">
      <c r="A632" s="7" t="inlineStr">
        <is>
          <t>sga-2022-6</t>
        </is>
      </c>
      <c r="B632" s="7" t="n">
        <v>4</v>
      </c>
      <c r="C632" s="7" t="inlineStr">
        <is>
          <t>SGA</t>
        </is>
      </c>
      <c r="D632" s="7" t="inlineStr">
        <is>
          <t>2022</t>
        </is>
      </c>
      <c r="E632" s="7" t="n">
        <v>6</v>
      </c>
      <c r="F632" s="8" t="n">
        <v>45497</v>
      </c>
      <c r="G632" s="7" t="inlineStr">
        <is>
          <t>DANIEL EDUARDO SOTO BERNAL</t>
        </is>
      </c>
      <c r="H632" s="14" t="n">
        <v>2</v>
      </c>
      <c r="I632" s="15">
        <f>IF(H632="","",H632/2)</f>
        <v/>
      </c>
      <c r="J632" s="7">
        <f>IF(H632="",0,IF(SUMPRODUCT((Seguimientos!$A$2:$A$1013=A632)*(Seguimientos!$F$2:$F$1013=F632)*(Seguimientos!$B$2:$B$1013&gt;B632)*(Seguimientos!$H$2:$H$1013&lt;&gt;""))=0,1,0))</f>
        <v/>
      </c>
      <c r="K632" s="7">
        <f>A632&amp;"|"&amp;B632</f>
        <v/>
      </c>
      <c r="L632" s="13" t="inlineStr">
        <is>
          <t>Actividad cumplida</t>
        </is>
      </c>
    </row>
    <row r="633">
      <c r="A633" s="7" t="inlineStr">
        <is>
          <t>sga-2022-6</t>
        </is>
      </c>
      <c r="B633" s="7" t="n">
        <v>5</v>
      </c>
      <c r="C633" s="7" t="inlineStr">
        <is>
          <t>SGA</t>
        </is>
      </c>
      <c r="D633" s="7" t="inlineStr">
        <is>
          <t>2022</t>
        </is>
      </c>
      <c r="E633" s="7" t="n">
        <v>6</v>
      </c>
      <c r="F633" s="8" t="n">
        <v>45583</v>
      </c>
      <c r="G633" s="7" t="inlineStr">
        <is>
          <t>DANIEL EDUARDO SOTO BERNAL</t>
        </is>
      </c>
      <c r="H633" s="14" t="n">
        <v>2</v>
      </c>
      <c r="I633" s="15">
        <f>IF(H633="","",H633/2)</f>
        <v/>
      </c>
      <c r="J633" s="7">
        <f>IF(H633="",0,IF(SUMPRODUCT((Seguimientos!$A$2:$A$1013=A633)*(Seguimientos!$F$2:$F$1013=F633)*(Seguimientos!$B$2:$B$1013&gt;B633)*(Seguimientos!$H$2:$H$1013&lt;&gt;""))=0,1,0))</f>
        <v/>
      </c>
      <c r="K633" s="7">
        <f>A633&amp;"|"&amp;B633</f>
        <v/>
      </c>
      <c r="L633" s="13" t="inlineStr">
        <is>
          <t>Actividad cumplida</t>
        </is>
      </c>
    </row>
    <row r="634">
      <c r="A634" s="7" t="inlineStr">
        <is>
          <t>sga-2022-6</t>
        </is>
      </c>
      <c r="B634" s="7" t="n">
        <v>6</v>
      </c>
      <c r="C634" s="7" t="inlineStr">
        <is>
          <t>SGA</t>
        </is>
      </c>
      <c r="D634" s="7" t="inlineStr">
        <is>
          <t>2022</t>
        </is>
      </c>
      <c r="E634" s="7" t="n">
        <v>6</v>
      </c>
      <c r="F634" s="8" t="n">
        <v>45838</v>
      </c>
      <c r="G634" s="7" t="inlineStr">
        <is>
          <t>DANIEL EDUARDO SOTO BERNAL</t>
        </is>
      </c>
      <c r="H634" s="14" t="n">
        <v>2</v>
      </c>
      <c r="I634" s="15">
        <f>IF(H634="","",H634/2)</f>
        <v/>
      </c>
      <c r="J634" s="7">
        <f>IF(H634="",0,IF(SUMPRODUCT((Seguimientos!$A$2:$A$1013=A634)*(Seguimientos!$F$2:$F$1013=F634)*(Seguimientos!$B$2:$B$1013&gt;B634)*(Seguimientos!$H$2:$H$1013&lt;&gt;""))=0,1,0))</f>
        <v/>
      </c>
      <c r="K634" s="7">
        <f>A634&amp;"|"&amp;B634</f>
        <v/>
      </c>
      <c r="L634" s="13" t="inlineStr">
        <is>
          <t>Actividad cumplida</t>
        </is>
      </c>
    </row>
    <row r="635">
      <c r="A635" s="7" t="inlineStr">
        <is>
          <t>sga-2022-6</t>
        </is>
      </c>
      <c r="B635" s="7" t="n">
        <v>7</v>
      </c>
      <c r="C635" s="7" t="inlineStr">
        <is>
          <t>SGA</t>
        </is>
      </c>
      <c r="D635" s="7" t="inlineStr">
        <is>
          <t>2022</t>
        </is>
      </c>
      <c r="E635" s="7" t="n">
        <v>6</v>
      </c>
      <c r="F635" s="8" t="n">
        <v>45930</v>
      </c>
      <c r="G635" s="7" t="inlineStr">
        <is>
          <t>JOAN IMAYINNE GALVIS MORENO</t>
        </is>
      </c>
      <c r="H635" s="14" t="n">
        <v>2</v>
      </c>
      <c r="I635" s="15">
        <f>IF(H635="","",H635/2)</f>
        <v/>
      </c>
      <c r="J635" s="7">
        <f>IF(H635="",0,IF(SUMPRODUCT((Seguimientos!$A$2:$A$1013=A635)*(Seguimientos!$F$2:$F$1013=F635)*(Seguimientos!$B$2:$B$1013&gt;B635)*(Seguimientos!$H$2:$H$1013&lt;&gt;""))=0,1,0))</f>
        <v/>
      </c>
      <c r="K635" s="7">
        <f>A635&amp;"|"&amp;B635</f>
        <v/>
      </c>
      <c r="L635" s="13" t="inlineStr">
        <is>
          <t>Actividad cumplida</t>
        </is>
      </c>
    </row>
    <row r="636">
      <c r="A636" s="7" t="inlineStr">
        <is>
          <t>sga-2022-6</t>
        </is>
      </c>
      <c r="B636" s="7" t="n">
        <v>8</v>
      </c>
      <c r="C636" s="7" t="inlineStr">
        <is>
          <t>SGA</t>
        </is>
      </c>
      <c r="D636" s="7" t="inlineStr">
        <is>
          <t>2022</t>
        </is>
      </c>
      <c r="E636" s="7" t="n">
        <v>6</v>
      </c>
      <c r="F636" s="8" t="n">
        <v>46053</v>
      </c>
      <c r="G636" s="7" t="inlineStr">
        <is>
          <t>JOAN IMAYINNE GALVIS MORENO</t>
        </is>
      </c>
      <c r="H636" s="14" t="n">
        <v>2</v>
      </c>
      <c r="I636" s="15">
        <f>IF(H636="","",H636/2)</f>
        <v/>
      </c>
      <c r="J636" s="7">
        <f>IF(H636="",0,IF(SUMPRODUCT((Seguimientos!$A$2:$A$1013=A636)*(Seguimientos!$F$2:$F$1013=F636)*(Seguimientos!$B$2:$B$1013&gt;B636)*(Seguimientos!$H$2:$H$1013&lt;&gt;""))=0,1,0))</f>
        <v/>
      </c>
      <c r="K636" s="7">
        <f>A636&amp;"|"&amp;B636</f>
        <v/>
      </c>
      <c r="L636" s="13" t="inlineStr">
        <is>
          <t>Actividad cumplida</t>
        </is>
      </c>
    </row>
    <row r="637">
      <c r="A637" s="7" t="inlineStr">
        <is>
          <t>sga-2022-7</t>
        </is>
      </c>
      <c r="B637" s="7" t="n">
        <v>1</v>
      </c>
      <c r="C637" s="7" t="inlineStr">
        <is>
          <t>SGA</t>
        </is>
      </c>
      <c r="D637" s="7" t="inlineStr">
        <is>
          <t>2022</t>
        </is>
      </c>
      <c r="E637" s="7" t="n">
        <v>7</v>
      </c>
      <c r="F637" s="8" t="n">
        <v>45133</v>
      </c>
      <c r="G637" s="7" t="inlineStr">
        <is>
          <t>DANIEL EDUARDO SOTO BERNAL</t>
        </is>
      </c>
      <c r="H637" s="14" t="n">
        <v>1</v>
      </c>
      <c r="I637" s="15">
        <f>IF(H637="","",H637/2)</f>
        <v/>
      </c>
      <c r="J637" s="7">
        <f>IF(H637="",0,IF(SUMPRODUCT((Seguimientos!$A$2:$A$1013=A637)*(Seguimientos!$F$2:$F$1013=F637)*(Seguimientos!$B$2:$B$1013&gt;B637)*(Seguimientos!$H$2:$H$1013&lt;&gt;""))=0,1,0))</f>
        <v/>
      </c>
      <c r="K637" s="7">
        <f>A637&amp;"|"&amp;B637</f>
        <v/>
      </c>
      <c r="L637" s="13" t="inlineStr">
        <is>
          <t>7.1. Se cuenta el correo de aprobación de la decisión por parte de la Comisión de Gestión del 16-05-2023.</t>
        </is>
      </c>
    </row>
    <row r="638">
      <c r="A638" s="7" t="inlineStr">
        <is>
          <t>sga-2022-7</t>
        </is>
      </c>
      <c r="B638" s="7" t="n">
        <v>2</v>
      </c>
      <c r="C638" s="7" t="inlineStr">
        <is>
          <t>SGA</t>
        </is>
      </c>
      <c r="D638" s="7" t="inlineStr">
        <is>
          <t>2022</t>
        </is>
      </c>
      <c r="E638" s="7" t="n">
        <v>7</v>
      </c>
      <c r="F638" s="8" t="n">
        <v>45245</v>
      </c>
      <c r="G638" s="7" t="inlineStr">
        <is>
          <t>DANIEL EDUARDO SOTO BERNAL</t>
        </is>
      </c>
      <c r="H638" s="14" t="n">
        <v>2</v>
      </c>
      <c r="I638" s="15">
        <f>IF(H638="","",H638/2)</f>
        <v/>
      </c>
      <c r="J638" s="7">
        <f>IF(H638="",0,IF(SUMPRODUCT((Seguimientos!$A$2:$A$1013=A638)*(Seguimientos!$F$2:$F$1013=F638)*(Seguimientos!$B$2:$B$1013&gt;B638)*(Seguimientos!$H$2:$H$1013&lt;&gt;""))=0,1,0))</f>
        <v/>
      </c>
      <c r="K638" s="7">
        <f>A638&amp;"|"&amp;B638</f>
        <v/>
      </c>
      <c r="L638" s="13" t="inlineStr">
        <is>
          <t>7.1. Se cuenta el correo de aprobación de la decisión por parte de la Comisión de Gestión del 16-05-2023.</t>
        </is>
      </c>
    </row>
    <row r="639">
      <c r="A639" s="7" t="inlineStr">
        <is>
          <t>sga-2022-7</t>
        </is>
      </c>
      <c r="B639" s="7" t="n">
        <v>3</v>
      </c>
      <c r="C639" s="7" t="inlineStr">
        <is>
          <t>SGA</t>
        </is>
      </c>
      <c r="D639" s="7" t="inlineStr">
        <is>
          <t>2022</t>
        </is>
      </c>
      <c r="E639" s="7" t="n">
        <v>7</v>
      </c>
      <c r="F639" s="8" t="n">
        <v>45405</v>
      </c>
      <c r="G639" s="7" t="inlineStr">
        <is>
          <t>DANIEL EDUARDO SOTO BERNAL</t>
        </is>
      </c>
      <c r="H639" s="14" t="n">
        <v>2</v>
      </c>
      <c r="I639" s="15">
        <f>IF(H639="","",H639/2)</f>
        <v/>
      </c>
      <c r="J639" s="7">
        <f>IF(H639="",0,IF(SUMPRODUCT((Seguimientos!$A$2:$A$1013=A639)*(Seguimientos!$F$2:$F$1013=F639)*(Seguimientos!$B$2:$B$1013&gt;B639)*(Seguimientos!$H$2:$H$1013&lt;&gt;""))=0,1,0))</f>
        <v/>
      </c>
      <c r="K639" s="7">
        <f>A639&amp;"|"&amp;B639</f>
        <v/>
      </c>
      <c r="L639" s="13" t="inlineStr">
        <is>
          <t>Actividad cumplida</t>
        </is>
      </c>
    </row>
    <row r="640">
      <c r="A640" s="7" t="inlineStr">
        <is>
          <t>sga-2022-7</t>
        </is>
      </c>
      <c r="B640" s="7" t="n">
        <v>4</v>
      </c>
      <c r="C640" s="7" t="inlineStr">
        <is>
          <t>SGA</t>
        </is>
      </c>
      <c r="D640" s="7" t="inlineStr">
        <is>
          <t>2022</t>
        </is>
      </c>
      <c r="E640" s="7" t="n">
        <v>7</v>
      </c>
      <c r="F640" s="8" t="n">
        <v>45497</v>
      </c>
      <c r="G640" s="7" t="inlineStr">
        <is>
          <t>DANIEL EDUARDO SOTO BERNAL</t>
        </is>
      </c>
      <c r="H640" s="14" t="n">
        <v>2</v>
      </c>
      <c r="I640" s="15">
        <f>IF(H640="","",H640/2)</f>
        <v/>
      </c>
      <c r="J640" s="7">
        <f>IF(H640="",0,IF(SUMPRODUCT((Seguimientos!$A$2:$A$1013=A640)*(Seguimientos!$F$2:$F$1013=F640)*(Seguimientos!$B$2:$B$1013&gt;B640)*(Seguimientos!$H$2:$H$1013&lt;&gt;""))=0,1,0))</f>
        <v/>
      </c>
      <c r="K640" s="7">
        <f>A640&amp;"|"&amp;B640</f>
        <v/>
      </c>
      <c r="L640" s="13" t="inlineStr">
        <is>
          <t>Actividad cumplida</t>
        </is>
      </c>
    </row>
    <row r="641">
      <c r="A641" s="7" t="inlineStr">
        <is>
          <t>sga-2022-7</t>
        </is>
      </c>
      <c r="B641" s="7" t="n">
        <v>5</v>
      </c>
      <c r="C641" s="7" t="inlineStr">
        <is>
          <t>SGA</t>
        </is>
      </c>
      <c r="D641" s="7" t="inlineStr">
        <is>
          <t>2022</t>
        </is>
      </c>
      <c r="E641" s="7" t="n">
        <v>7</v>
      </c>
      <c r="F641" s="8" t="n">
        <v>45583</v>
      </c>
      <c r="G641" s="7" t="inlineStr">
        <is>
          <t>DANIEL EDUARDO SOTO BERNAL</t>
        </is>
      </c>
      <c r="H641" s="14" t="n">
        <v>2</v>
      </c>
      <c r="I641" s="15">
        <f>IF(H641="","",H641/2)</f>
        <v/>
      </c>
      <c r="J641" s="7">
        <f>IF(H641="",0,IF(SUMPRODUCT((Seguimientos!$A$2:$A$1013=A641)*(Seguimientos!$F$2:$F$1013=F641)*(Seguimientos!$B$2:$B$1013&gt;B641)*(Seguimientos!$H$2:$H$1013&lt;&gt;""))=0,1,0))</f>
        <v/>
      </c>
      <c r="K641" s="7">
        <f>A641&amp;"|"&amp;B641</f>
        <v/>
      </c>
      <c r="L641" s="13" t="inlineStr">
        <is>
          <t>Actividad cumplida</t>
        </is>
      </c>
    </row>
    <row r="642">
      <c r="A642" s="7" t="inlineStr">
        <is>
          <t>sga-2022-7</t>
        </is>
      </c>
      <c r="B642" s="7" t="n">
        <v>6</v>
      </c>
      <c r="C642" s="7" t="inlineStr">
        <is>
          <t>SGA</t>
        </is>
      </c>
      <c r="D642" s="7" t="inlineStr">
        <is>
          <t>2022</t>
        </is>
      </c>
      <c r="E642" s="7" t="n">
        <v>7</v>
      </c>
      <c r="F642" s="8" t="n">
        <v>45838</v>
      </c>
      <c r="G642" s="7" t="inlineStr">
        <is>
          <t>DANIEL EDUARDO SOTO BERNAL</t>
        </is>
      </c>
      <c r="H642" s="14" t="n">
        <v>2</v>
      </c>
      <c r="I642" s="15">
        <f>IF(H642="","",H642/2)</f>
        <v/>
      </c>
      <c r="J642" s="7">
        <f>IF(H642="",0,IF(SUMPRODUCT((Seguimientos!$A$2:$A$1013=A642)*(Seguimientos!$F$2:$F$1013=F642)*(Seguimientos!$B$2:$B$1013&gt;B642)*(Seguimientos!$H$2:$H$1013&lt;&gt;""))=0,1,0))</f>
        <v/>
      </c>
      <c r="K642" s="7">
        <f>A642&amp;"|"&amp;B642</f>
        <v/>
      </c>
      <c r="L642" s="13" t="inlineStr">
        <is>
          <t>Actividad cumplida</t>
        </is>
      </c>
    </row>
    <row r="643">
      <c r="A643" s="7" t="inlineStr">
        <is>
          <t>sga-2022-7</t>
        </is>
      </c>
      <c r="B643" s="7" t="n">
        <v>7</v>
      </c>
      <c r="C643" s="7" t="inlineStr">
        <is>
          <t>SGA</t>
        </is>
      </c>
      <c r="D643" s="7" t="inlineStr">
        <is>
          <t>2022</t>
        </is>
      </c>
      <c r="E643" s="7" t="n">
        <v>7</v>
      </c>
      <c r="F643" s="8" t="n">
        <v>45930</v>
      </c>
      <c r="G643" s="7" t="inlineStr">
        <is>
          <t>JOAN IMAYINNE GALVIS MORENO</t>
        </is>
      </c>
      <c r="H643" s="14" t="n">
        <v>2</v>
      </c>
      <c r="I643" s="15">
        <f>IF(H643="","",H643/2)</f>
        <v/>
      </c>
      <c r="J643" s="7">
        <f>IF(H643="",0,IF(SUMPRODUCT((Seguimientos!$A$2:$A$1013=A643)*(Seguimientos!$F$2:$F$1013=F643)*(Seguimientos!$B$2:$B$1013&gt;B643)*(Seguimientos!$H$2:$H$1013&lt;&gt;""))=0,1,0))</f>
        <v/>
      </c>
      <c r="K643" s="7">
        <f>A643&amp;"|"&amp;B643</f>
        <v/>
      </c>
      <c r="L643" s="13" t="inlineStr">
        <is>
          <t>Actividad cumplida</t>
        </is>
      </c>
    </row>
    <row r="644">
      <c r="A644" s="7" t="inlineStr">
        <is>
          <t>sga-2022-7</t>
        </is>
      </c>
      <c r="B644" s="7" t="n">
        <v>8</v>
      </c>
      <c r="C644" s="7" t="inlineStr">
        <is>
          <t>SGA</t>
        </is>
      </c>
      <c r="D644" s="7" t="inlineStr">
        <is>
          <t>2022</t>
        </is>
      </c>
      <c r="E644" s="7" t="n">
        <v>7</v>
      </c>
      <c r="F644" s="8" t="n">
        <v>46053</v>
      </c>
      <c r="G644" s="7" t="inlineStr">
        <is>
          <t>JOAN IMAYINNE GALVIS MORENO</t>
        </is>
      </c>
      <c r="H644" s="14" t="n">
        <v>2</v>
      </c>
      <c r="I644" s="15">
        <f>IF(H644="","",H644/2)</f>
        <v/>
      </c>
      <c r="J644" s="7">
        <f>IF(H644="",0,IF(SUMPRODUCT((Seguimientos!$A$2:$A$1013=A644)*(Seguimientos!$F$2:$F$1013=F644)*(Seguimientos!$B$2:$B$1013&gt;B644)*(Seguimientos!$H$2:$H$1013&lt;&gt;""))=0,1,0))</f>
        <v/>
      </c>
      <c r="K644" s="7">
        <f>A644&amp;"|"&amp;B644</f>
        <v/>
      </c>
      <c r="L644" s="13" t="inlineStr">
        <is>
          <t>Actividad cumplida</t>
        </is>
      </c>
    </row>
    <row r="645">
      <c r="A645" s="7" t="inlineStr">
        <is>
          <t>sga-2023-1</t>
        </is>
      </c>
      <c r="B645" s="7" t="n">
        <v>1</v>
      </c>
      <c r="C645" s="7" t="inlineStr">
        <is>
          <t>SGA</t>
        </is>
      </c>
      <c r="D645" s="7" t="inlineStr">
        <is>
          <t>2023</t>
        </is>
      </c>
      <c r="E645" s="7" t="n">
        <v>1</v>
      </c>
      <c r="F645" s="8" t="n">
        <v>45405</v>
      </c>
      <c r="G645" s="7" t="inlineStr">
        <is>
          <t>DANIEL EDUARDO SOTO BERNAL</t>
        </is>
      </c>
      <c r="H645" s="14" t="n">
        <v>0.5</v>
      </c>
      <c r="I645" s="15">
        <f>IF(H645="","",H645/2)</f>
        <v/>
      </c>
      <c r="J645" s="7">
        <f>IF(H645="",0,IF(SUMPRODUCT((Seguimientos!$A$2:$A$1013=A645)*(Seguimientos!$F$2:$F$1013=F645)*(Seguimientos!$B$2:$B$1013&gt;B645)*(Seguimientos!$H$2:$H$1013&lt;&gt;""))=0,1,0))</f>
        <v/>
      </c>
      <c r="K645" s="7">
        <f>A645&amp;"|"&amp;B645</f>
        <v/>
      </c>
      <c r="L645" s="13" t="inlineStr">
        <is>
          <t>Pendiente relación de planes.</t>
        </is>
      </c>
    </row>
    <row r="646">
      <c r="A646" s="7" t="inlineStr">
        <is>
          <t>sga-2023-1</t>
        </is>
      </c>
      <c r="B646" s="7" t="n">
        <v>2</v>
      </c>
      <c r="C646" s="7" t="inlineStr">
        <is>
          <t>SGA</t>
        </is>
      </c>
      <c r="D646" s="7" t="inlineStr">
        <is>
          <t>2023</t>
        </is>
      </c>
      <c r="E646" s="7" t="n">
        <v>1</v>
      </c>
      <c r="F646" s="8" t="n">
        <v>45497</v>
      </c>
      <c r="G646" s="7" t="inlineStr">
        <is>
          <t>DANIEL EDUARDO SOTO BERNAL</t>
        </is>
      </c>
      <c r="H646" s="14" t="n">
        <v>1</v>
      </c>
      <c r="I646" s="15">
        <f>IF(H646="","",H646/2)</f>
        <v/>
      </c>
      <c r="J646" s="7">
        <f>IF(H646="",0,IF(SUMPRODUCT((Seguimientos!$A$2:$A$1013=A646)*(Seguimientos!$F$2:$F$1013=F646)*(Seguimientos!$B$2:$B$1013&gt;B646)*(Seguimientos!$H$2:$H$1013&lt;&gt;""))=0,1,0))</f>
        <v/>
      </c>
      <c r="K646" s="7">
        <f>A646&amp;"|"&amp;B646</f>
        <v/>
      </c>
      <c r="L646" s="13" t="inlineStr">
        <is>
          <t>Se realiza cargue en el aplicativo de los planes de mejoramiento producto de la auditoria interna y auditoria de certificación, con 3 hallazgos y dos oportunidades de mejora para el SGA. Se direccionan los hallazgos y las oportunidades de mejora de acuerdo con el requisitos a subsanar así: - Gestión Jurídica -NC- - Sistemas integrados de gestión SGA - NC; 2 OM- - Gestión de Talento Humano -NC- - Gestión de bienes y servicios. -OM- El avance de cada uno de los hallazgos: - NC. 6.1.2. AVANCE 23% - NC. 8.1. AVANCE 14% - NC. 8.2. AVANCE 83% - OM. 4.4. AVANCE 25% - OM. 8.2. AVANCE 33%</t>
        </is>
      </c>
    </row>
    <row r="647">
      <c r="A647" s="7" t="inlineStr">
        <is>
          <t>sga-2023-1</t>
        </is>
      </c>
      <c r="B647" s="7" t="n">
        <v>3</v>
      </c>
      <c r="C647" s="7" t="inlineStr">
        <is>
          <t>SGA</t>
        </is>
      </c>
      <c r="D647" s="7" t="inlineStr">
        <is>
          <t>2023</t>
        </is>
      </c>
      <c r="E647" s="7" t="n">
        <v>1</v>
      </c>
      <c r="F647" s="8" t="n">
        <v>45583</v>
      </c>
      <c r="G647" s="7" t="inlineStr">
        <is>
          <t>DANIEL EDUARDO SOTO BERNAL</t>
        </is>
      </c>
      <c r="H647" s="14" t="n">
        <v>1</v>
      </c>
      <c r="I647" s="15">
        <f>IF(H647="","",H647/2)</f>
        <v/>
      </c>
      <c r="J647" s="7">
        <f>IF(H647="",0,IF(SUMPRODUCT((Seguimientos!$A$2:$A$1013=A647)*(Seguimientos!$F$2:$F$1013=F647)*(Seguimientos!$B$2:$B$1013&gt;B647)*(Seguimientos!$H$2:$H$1013&lt;&gt;""))=0,1,0))</f>
        <v/>
      </c>
      <c r="K647" s="7">
        <f>A647&amp;"|"&amp;B647</f>
        <v/>
      </c>
      <c r="L647" s="13" t="inlineStr">
        <is>
          <t>Se avanza en cada uno de los planes de mejoramiento de acuerdo a la siguiente relaciòn: Auditoria Interna 2023 - NC. 6.1.2. AVANCE 23% - NC. 8.1. AVANCE 14% - NC. 8.2. AVANCE 83% - OM. 4.4. AVANCE 25% - OM. 8.2. AVANCE 33% Auditoria Cerificaciòn 2023. - NC. 5,3. AVANCE 50% - NC. 8,1. AVANCE 42% No se evidencia avance del trimestre anterior al corte de 30 de septiembre de 2024.</t>
        </is>
      </c>
    </row>
    <row r="648">
      <c r="A648" s="7" t="inlineStr">
        <is>
          <t>sga-2023-1</t>
        </is>
      </c>
      <c r="B648" s="7" t="n">
        <v>4</v>
      </c>
      <c r="C648" s="7" t="inlineStr">
        <is>
          <t>SGA</t>
        </is>
      </c>
      <c r="D648" s="7" t="inlineStr">
        <is>
          <t>2023</t>
        </is>
      </c>
      <c r="E648" s="7" t="n">
        <v>1</v>
      </c>
      <c r="F648" s="8" t="n">
        <v>45777</v>
      </c>
      <c r="G648" s="7" t="inlineStr">
        <is>
          <t>DANIEL EDUARDO SOTO BERNAL</t>
        </is>
      </c>
      <c r="H648" s="14" t="n">
        <v>1.5</v>
      </c>
      <c r="I648" s="15">
        <f>IF(H648="","",H648/2)</f>
        <v/>
      </c>
      <c r="J648" s="7">
        <f>IF(H648="",0,IF(SUMPRODUCT((Seguimientos!$A$2:$A$1013=A648)*(Seguimientos!$F$2:$F$1013=F648)*(Seguimientos!$B$2:$B$1013&gt;B648)*(Seguimientos!$H$2:$H$1013&lt;&gt;""))=0,1,0))</f>
        <v/>
      </c>
      <c r="K648" s="7">
        <f>A648&amp;"|"&amp;B648</f>
        <v/>
      </c>
      <c r="L648" s="13" t="inlineStr">
        <is>
          <t>De acuerdo con los hallazgos de auditoría interna de la vigencia 2024 y Auditoria de certificación, para el primer trimestre de 2025 se realiza el cargue de los Planes de mejoramiento en la plataforma y se da el desarrollo con base en los planes de acción propuestos para cada uno de los hallazgos, Las fechas de cumplimiento de dichas actividades se encuentran aún vigentes, no se presentan retrasos en dichos planes.</t>
        </is>
      </c>
    </row>
    <row r="649">
      <c r="A649" s="7" t="inlineStr">
        <is>
          <t>sga-2023-1</t>
        </is>
      </c>
      <c r="B649" s="7" t="n">
        <v>5</v>
      </c>
      <c r="C649" s="7" t="inlineStr">
        <is>
          <t>SGA</t>
        </is>
      </c>
      <c r="D649" s="7" t="inlineStr">
        <is>
          <t>2023</t>
        </is>
      </c>
      <c r="E649" s="7" t="n">
        <v>1</v>
      </c>
      <c r="F649" s="8" t="n">
        <v>45838</v>
      </c>
      <c r="G649" s="7" t="inlineStr">
        <is>
          <t>DANIEL EDUARDO SOTO BERNAL</t>
        </is>
      </c>
      <c r="H649" s="14" t="n">
        <v>1.5</v>
      </c>
      <c r="I649" s="15">
        <f>IF(H649="","",H649/2)</f>
        <v/>
      </c>
      <c r="J649" s="7">
        <f>IF(H649="",0,IF(SUMPRODUCT((Seguimientos!$A$2:$A$1013=A649)*(Seguimientos!$F$2:$F$1013=F649)*(Seguimientos!$B$2:$B$1013&gt;B649)*(Seguimientos!$H$2:$H$1013&lt;&gt;""))=0,1,0))</f>
        <v/>
      </c>
      <c r="K649" s="7">
        <f>A649&amp;"|"&amp;B649</f>
        <v/>
      </c>
      <c r="L649" s="13" t="inlineStr">
        <is>
          <t>Para un cumplimiento general de PM #2. 90% como se muestra a continuación: Auditoría Interna 2023 NC. 6.1.2. AVANCE 100% NC. 8.1. AVANCE 60%. Obedece a un retraso por la verificación aprobación y publicación del ESG-SST-M04. Manual de seguridad. NC. 8.2. AVANCE 100% OM. 4.4. AVANCE 100% OM. 8.2. AVANCE 100% Para un cumplimiento general de PM #5 75% como se muestra a continuación: Auditoria Certificación 2023. NC. 5,3. AVANCE 50%. Roles y responsabilidades tratados en las mesas de trabajo del Sistema integrado de gestión. NC. 8,1. AVANCE 100%</t>
        </is>
      </c>
    </row>
    <row r="650">
      <c r="A650" s="7" t="inlineStr">
        <is>
          <t>sga-2023-1</t>
        </is>
      </c>
      <c r="B650" s="7" t="n">
        <v>6</v>
      </c>
      <c r="C650" s="7" t="inlineStr">
        <is>
          <t>SGA</t>
        </is>
      </c>
      <c r="D650" s="7" t="inlineStr">
        <is>
          <t>2023</t>
        </is>
      </c>
      <c r="E650" s="7" t="n">
        <v>1</v>
      </c>
      <c r="F650" s="8" t="n">
        <v>45930</v>
      </c>
      <c r="G650" s="7" t="inlineStr">
        <is>
          <t>Sin registrar</t>
        </is>
      </c>
      <c r="H650" s="14" t="n">
        <v>1.5</v>
      </c>
      <c r="I650" s="15">
        <f>IF(H650="","",H650/2)</f>
        <v/>
      </c>
      <c r="J650" s="7">
        <f>IF(H650="",0,IF(SUMPRODUCT((Seguimientos!$A$2:$A$1013=A650)*(Seguimientos!$F$2:$F$1013=F650)*(Seguimientos!$B$2:$B$1013&gt;B650)*(Seguimientos!$H$2:$H$1013&lt;&gt;""))=0,1,0))</f>
        <v/>
      </c>
      <c r="K650" s="7">
        <f>A650&amp;"|"&amp;B650</f>
        <v/>
      </c>
      <c r="L650" s="13" t="inlineStr">
        <is>
          <t>De acuerdo con los hallazgos de auditoría interna de la vigencia 2024 y Auditoria de certificación, para el primer trimestre de 2025 se realiza el cargue de los Planes de mejoramiento en la plataforma y se da el desarrollo con base en los planes de acción propuestos para cada uno de los hallazgos, Las fechas de cumplimiento de dichas actividades se encuentran aún vigentes, no se presentan retrasos en dichos planes. Esperando la verificacion de estos en su totalidad</t>
        </is>
      </c>
    </row>
    <row r="651">
      <c r="A651" s="7" t="inlineStr">
        <is>
          <t>sga-2023-sn3csidz</t>
        </is>
      </c>
      <c r="B651" s="7" t="n">
        <v>1</v>
      </c>
      <c r="C651" s="7" t="inlineStr">
        <is>
          <t>SGA</t>
        </is>
      </c>
      <c r="D651" s="7" t="inlineStr">
        <is>
          <t>2023</t>
        </is>
      </c>
      <c r="E651" s="7" t="n"/>
      <c r="F651" s="8" t="n">
        <v>45405</v>
      </c>
      <c r="G651" s="7" t="inlineStr">
        <is>
          <t>DANIEL EDUARDO SOTO BERNAL</t>
        </is>
      </c>
      <c r="H651" s="14" t="n">
        <v>0.5</v>
      </c>
      <c r="I651" s="15">
        <f>IF(H651="","",H651/2)</f>
        <v/>
      </c>
      <c r="J651" s="7">
        <f>IF(H651="",0,IF(SUMPRODUCT((Seguimientos!$A$2:$A$1013=A651)*(Seguimientos!$F$2:$F$1013=F651)*(Seguimientos!$B$2:$B$1013&gt;B651)*(Seguimientos!$H$2:$H$1013&lt;&gt;""))=0,1,0))</f>
        <v/>
      </c>
      <c r="K651" s="7">
        <f>A651&amp;"|"&amp;B651</f>
        <v/>
      </c>
      <c r="L651" s="13" t="inlineStr">
        <is>
          <t>Se realiza reunión con Dirección de Planeación y demás Lideres de los Sistemas para consolidar perfiles de auditor y condiciones contractuales del proceso de Auditoria Interna trinorma.</t>
        </is>
      </c>
    </row>
    <row r="652">
      <c r="A652" s="7" t="inlineStr">
        <is>
          <t>sga-2023-sn3csidz</t>
        </is>
      </c>
      <c r="B652" s="7" t="n">
        <v>2</v>
      </c>
      <c r="C652" s="7" t="inlineStr">
        <is>
          <t>SGA</t>
        </is>
      </c>
      <c r="D652" s="7" t="inlineStr">
        <is>
          <t>2023</t>
        </is>
      </c>
      <c r="E652" s="7" t="n"/>
      <c r="F652" s="8" t="n">
        <v>45497</v>
      </c>
      <c r="G652" s="7" t="inlineStr">
        <is>
          <t>DANIEL EDUARDO SOTO BERNAL</t>
        </is>
      </c>
      <c r="H652" s="14" t="n">
        <v>1</v>
      </c>
      <c r="I652" s="15">
        <f>IF(H652="","",H652/2)</f>
        <v/>
      </c>
      <c r="J652" s="7">
        <f>IF(H652="",0,IF(SUMPRODUCT((Seguimientos!$A$2:$A$1013=A652)*(Seguimientos!$F$2:$F$1013=F652)*(Seguimientos!$B$2:$B$1013&gt;B652)*(Seguimientos!$H$2:$H$1013&lt;&gt;""))=0,1,0))</f>
        <v/>
      </c>
      <c r="K652" s="7">
        <f>A652&amp;"|"&amp;B652</f>
        <v/>
      </c>
      <c r="L652" s="13" t="inlineStr">
        <is>
          <t>Se esta realizando la revisión de MANUAL DE FUNCIONES Y PERFIL DEL EQUIPO AUDITOR SCIM003, y así consolidar los perfiles requeridos para el ejercicio de auditoria de segunda parte. De igual forma se revisa por parte del SIG las especificaciones técnicas y el objeto a contratar para el desarrollo de la auditoria interna. Anexo técnico aprobado para contratación de auditoria interna</t>
        </is>
      </c>
    </row>
    <row r="653">
      <c r="A653" s="7" t="inlineStr">
        <is>
          <t>sga-2023-sn3csidz</t>
        </is>
      </c>
      <c r="B653" s="7" t="n">
        <v>3</v>
      </c>
      <c r="C653" s="7" t="inlineStr">
        <is>
          <t>SGA</t>
        </is>
      </c>
      <c r="D653" s="7" t="inlineStr">
        <is>
          <t>2023</t>
        </is>
      </c>
      <c r="E653" s="7" t="n"/>
      <c r="F653" s="8" t="n">
        <v>45583</v>
      </c>
      <c r="G653" s="7" t="inlineStr">
        <is>
          <t>DANIEL EDUARDO SOTO BERNAL</t>
        </is>
      </c>
      <c r="H653" s="14" t="n">
        <v>1</v>
      </c>
      <c r="I653" s="15">
        <f>IF(H653="","",H653/2)</f>
        <v/>
      </c>
      <c r="J653" s="7">
        <f>IF(H653="",0,IF(SUMPRODUCT((Seguimientos!$A$2:$A$1013=A653)*(Seguimientos!$F$2:$F$1013=F653)*(Seguimientos!$B$2:$B$1013&gt;B653)*(Seguimientos!$H$2:$H$1013&lt;&gt;""))=0,1,0))</f>
        <v/>
      </c>
      <c r="K653" s="7">
        <f>A653&amp;"|"&amp;B653</f>
        <v/>
      </c>
      <c r="L653" s="13" t="inlineStr">
        <is>
          <t>Se realiza el concepto técnico y verificación de los dos proveedores que se presentaron para el proceso de Auditoria Interna. Auditoria se lleva a cabo en el mes de Noviembre de 2024</t>
        </is>
      </c>
    </row>
    <row r="654">
      <c r="A654" s="7" t="inlineStr">
        <is>
          <t>sga-2023-sn3csidz</t>
        </is>
      </c>
      <c r="B654" s="7" t="n">
        <v>4</v>
      </c>
      <c r="C654" s="7" t="inlineStr">
        <is>
          <t>SGA</t>
        </is>
      </c>
      <c r="D654" s="7" t="inlineStr">
        <is>
          <t>2023</t>
        </is>
      </c>
      <c r="E654" s="7" t="n"/>
      <c r="F654" s="8" t="n">
        <v>45777</v>
      </c>
      <c r="G654" s="7" t="inlineStr">
        <is>
          <t>DANIEL EDUARDO SOTO BERNAL</t>
        </is>
      </c>
      <c r="H654" s="14" t="n">
        <v>1</v>
      </c>
      <c r="I654" s="15">
        <f>IF(H654="","",H654/2)</f>
        <v/>
      </c>
      <c r="J654" s="7">
        <f>IF(H654="",0,IF(SUMPRODUCT((Seguimientos!$A$2:$A$1013=A654)*(Seguimientos!$F$2:$F$1013=F654)*(Seguimientos!$B$2:$B$1013&gt;B654)*(Seguimientos!$H$2:$H$1013&lt;&gt;""))=0,1,0))</f>
        <v/>
      </c>
      <c r="K654" s="7">
        <f>A654&amp;"|"&amp;B654</f>
        <v/>
      </c>
      <c r="L654" s="13" t="inlineStr">
        <is>
          <t>Se anexa “INFORME DE AUDITORÍA DE SISTEMAS DE GESTIÓN” de Icontec estando pendiente a dar cumplimiento. Plan de auditoria Contrato de auditoría interna combinada. Contrato de Auditoría de tercera parte. En seguimiento.</t>
        </is>
      </c>
    </row>
    <row r="655">
      <c r="A655" s="7" t="inlineStr">
        <is>
          <t>sga-2023-sn3csidz</t>
        </is>
      </c>
      <c r="B655" s="7" t="n">
        <v>5</v>
      </c>
      <c r="C655" s="7" t="inlineStr">
        <is>
          <t>SGA</t>
        </is>
      </c>
      <c r="D655" s="7" t="inlineStr">
        <is>
          <t>2023</t>
        </is>
      </c>
      <c r="E655" s="7" t="n"/>
      <c r="F655" s="8" t="n">
        <v>45838</v>
      </c>
      <c r="G655" s="7" t="inlineStr">
        <is>
          <t>DANIEL EDUARDO SOTO BERNAL</t>
        </is>
      </c>
      <c r="H655" s="14" t="n">
        <v>2</v>
      </c>
      <c r="I655" s="15">
        <f>IF(H655="","",H655/2)</f>
        <v/>
      </c>
      <c r="J655" s="7">
        <f>IF(H655="",0,IF(SUMPRODUCT((Seguimientos!$A$2:$A$1013=A655)*(Seguimientos!$F$2:$F$1013=F655)*(Seguimientos!$B$2:$B$1013&gt;B655)*(Seguimientos!$H$2:$H$1013&lt;&gt;""))=0,1,0))</f>
        <v/>
      </c>
      <c r="K655" s="7">
        <f>A655&amp;"|"&amp;B655</f>
        <v/>
      </c>
      <c r="L655" s="13" t="inlineStr">
        <is>
          <t>El Sistema de Gestión Ambiental ESGA anexa el informe de auditoría que se realizó a los sistemas de gestión, Objeto “Verificar la conformidad del Sistema de Gestión Ambiental bajo la norma ISO 14001:2015 en la Universidad de Cundinamarca para el año 2024 en el alcance establecido”. con fecha final de presentación 20 - 12 - 2024 con el siguiente alcance de auditoría: La auditoría del Sistema de Gestión Ambiental consideró en el alcance la Sede Fusagasugá; Seccional Ubaté, Seccional Girardot; Extensión Soacha, Extensión Chía, Extensión Zipaquirá, Extensión Facatativá; Oficina Bogotá; Centro Académico Deportivo – CAD; Unidad Agroambiental La Esperanza, Unidad Agroambiental El Tíbar, Unidad Agroambiental El Vergel. Dando cierre a esta actividad de la vig 2023.</t>
        </is>
      </c>
    </row>
    <row r="656">
      <c r="A656" s="7" t="inlineStr">
        <is>
          <t>sga-2023-sn3csidz</t>
        </is>
      </c>
      <c r="B656" s="7" t="n">
        <v>6</v>
      </c>
      <c r="C656" s="7" t="inlineStr">
        <is>
          <t>SGA</t>
        </is>
      </c>
      <c r="D656" s="7" t="inlineStr">
        <is>
          <t>2023</t>
        </is>
      </c>
      <c r="E656" s="7" t="n"/>
      <c r="F656" s="8" t="n">
        <v>45930</v>
      </c>
      <c r="G656" s="7" t="inlineStr">
        <is>
          <t>Sin registrar</t>
        </is>
      </c>
      <c r="H656" s="14" t="n">
        <v>2</v>
      </c>
      <c r="I656" s="15">
        <f>IF(H656="","",H656/2)</f>
        <v/>
      </c>
      <c r="J656" s="7">
        <f>IF(H656="",0,IF(SUMPRODUCT((Seguimientos!$A$2:$A$1013=A656)*(Seguimientos!$F$2:$F$1013=F656)*(Seguimientos!$B$2:$B$1013&gt;B656)*(Seguimientos!$H$2:$H$1013&lt;&gt;""))=0,1,0))</f>
        <v/>
      </c>
      <c r="K656" s="7">
        <f>A656&amp;"|"&amp;B656</f>
        <v/>
      </c>
      <c r="L656" s="13" t="inlineStr">
        <is>
          <t>Actividad cumplida</t>
        </is>
      </c>
    </row>
    <row r="657">
      <c r="A657" s="7" t="inlineStr">
        <is>
          <t>sga-2023-3</t>
        </is>
      </c>
      <c r="B657" s="7" t="n">
        <v>1</v>
      </c>
      <c r="C657" s="7" t="inlineStr">
        <is>
          <t>SGA</t>
        </is>
      </c>
      <c r="D657" s="7" t="inlineStr">
        <is>
          <t>2023</t>
        </is>
      </c>
      <c r="E657" s="7" t="n">
        <v>3</v>
      </c>
      <c r="F657" s="8" t="n">
        <v>45405</v>
      </c>
      <c r="G657" s="7" t="inlineStr">
        <is>
          <t>DANIEL EDUARDO SOTO BERNAL</t>
        </is>
      </c>
      <c r="H657" s="14" t="n">
        <v>1</v>
      </c>
      <c r="I657" s="15">
        <f>IF(H657="","",H657/2)</f>
        <v/>
      </c>
      <c r="J657" s="7">
        <f>IF(H657="",0,IF(SUMPRODUCT((Seguimientos!$A$2:$A$1013=A657)*(Seguimientos!$F$2:$F$1013=F657)*(Seguimientos!$B$2:$B$1013&gt;B657)*(Seguimientos!$H$2:$H$1013&lt;&gt;""))=0,1,0))</f>
        <v/>
      </c>
      <c r="K657" s="7">
        <f>A657&amp;"|"&amp;B657</f>
        <v/>
      </c>
      <c r="L657" s="13" t="inlineStr">
        <is>
          <t>Se realiza actualización de Política y se remite a la Dirección de Planeación Institucional para su revisión y aprobación, previo envió a la Comisión de Gestión.</t>
        </is>
      </c>
    </row>
    <row r="658">
      <c r="A658" s="7" t="inlineStr">
        <is>
          <t>sga-2023-3</t>
        </is>
      </c>
      <c r="B658" s="7" t="n">
        <v>2</v>
      </c>
      <c r="C658" s="7" t="inlineStr">
        <is>
          <t>SGA</t>
        </is>
      </c>
      <c r="D658" s="7" t="inlineStr">
        <is>
          <t>2023</t>
        </is>
      </c>
      <c r="E658" s="7" t="n">
        <v>3</v>
      </c>
      <c r="F658" s="8" t="n">
        <v>45497</v>
      </c>
      <c r="G658" s="7" t="inlineStr">
        <is>
          <t>DANIEL EDUARDO SOTO BERNAL</t>
        </is>
      </c>
      <c r="H658" s="14" t="n">
        <v>1</v>
      </c>
      <c r="I658" s="15">
        <f>IF(H658="","",H658/2)</f>
        <v/>
      </c>
      <c r="J658" s="7">
        <f>IF(H658="",0,IF(SUMPRODUCT((Seguimientos!$A$2:$A$1013=A658)*(Seguimientos!$F$2:$F$1013=F658)*(Seguimientos!$B$2:$B$1013&gt;B658)*(Seguimientos!$H$2:$H$1013&lt;&gt;""))=0,1,0))</f>
        <v/>
      </c>
      <c r="K658" s="7">
        <f>A658&amp;"|"&amp;B658</f>
        <v/>
      </c>
      <c r="L658" s="13" t="inlineStr">
        <is>
          <t>Se realiza la revisión y ajustes de la política, se envía a Dirección de Planeación Institucional para su revisión. En reunión realizada el día 17 de junio de 2024, con las coordinaciones de los sistemas de Calidad, Seguridad y Salud en el Trabajo, Seguridad de la Información, Antisoborno y la Dirección de Planeación Institucional, se propone la integración de los sistemas, dentro de las actividades a trabajar de manera inicial es la Integración de la Política.</t>
        </is>
      </c>
    </row>
    <row r="659">
      <c r="A659" s="7" t="inlineStr">
        <is>
          <t>sga-2023-3</t>
        </is>
      </c>
      <c r="B659" s="7" t="n">
        <v>3</v>
      </c>
      <c r="C659" s="7" t="inlineStr">
        <is>
          <t>SGA</t>
        </is>
      </c>
      <c r="D659" s="7" t="inlineStr">
        <is>
          <t>2023</t>
        </is>
      </c>
      <c r="E659" s="7" t="n">
        <v>3</v>
      </c>
      <c r="F659" s="8" t="n">
        <v>45583</v>
      </c>
      <c r="G659" s="7" t="inlineStr">
        <is>
          <t>DANIEL EDUARDO SOTO BERNAL</t>
        </is>
      </c>
      <c r="H659" s="14" t="n">
        <v>1</v>
      </c>
      <c r="I659" s="15">
        <f>IF(H659="","",H659/2)</f>
        <v/>
      </c>
      <c r="J659" s="7">
        <f>IF(H659="",0,IF(SUMPRODUCT((Seguimientos!$A$2:$A$1013=A659)*(Seguimientos!$F$2:$F$1013=F659)*(Seguimientos!$B$2:$B$1013&gt;B659)*(Seguimientos!$H$2:$H$1013&lt;&gt;""))=0,1,0))</f>
        <v/>
      </c>
      <c r="K659" s="7">
        <f>A659&amp;"|"&amp;B659</f>
        <v/>
      </c>
      <c r="L659" s="13" t="inlineStr">
        <is>
          <t>Reunión 5 de julio de 2024. Presentación de la propuesta para la actualización de la política, Se requiere diligenciar la propuesta de la política desde la particularidad de cada sistema alineado al plan rectoral y el plan de desarrollo vigente. Cada Coordinador de Sistema de Gestión presenta y argumenta la política y los objetivos trasversales según la aplicación de la norma. Reunión 19 de julio de 2024. Revisión y construcción del lineamiento de los Sistemas Integrados de Gestión. Con base en los aportes de los Coordinadores de los Sistemas Integrados, se realiza el lineamiento del Sistema de Gestión Integrado de la Universidad de Cundinamarca,</t>
        </is>
      </c>
    </row>
    <row r="660">
      <c r="A660" s="7" t="inlineStr">
        <is>
          <t>sga-2023-3</t>
        </is>
      </c>
      <c r="B660" s="7" t="n">
        <v>4</v>
      </c>
      <c r="C660" s="7" t="inlineStr">
        <is>
          <t>SGA</t>
        </is>
      </c>
      <c r="D660" s="7" t="inlineStr">
        <is>
          <t>2023</t>
        </is>
      </c>
      <c r="E660" s="7" t="n">
        <v>3</v>
      </c>
      <c r="F660" s="8" t="n">
        <v>45777</v>
      </c>
      <c r="G660" s="7" t="inlineStr">
        <is>
          <t>DANIEL EDUARDO SOTO BERNAL</t>
        </is>
      </c>
      <c r="H660" s="14" t="n">
        <v>1</v>
      </c>
      <c r="I660" s="15">
        <f>IF(H660="","",H660/2)</f>
        <v/>
      </c>
      <c r="J660" s="7">
        <f>IF(H660="",0,IF(SUMPRODUCT((Seguimientos!$A$2:$A$1013=A660)*(Seguimientos!$F$2:$F$1013=F660)*(Seguimientos!$B$2:$B$1013&gt;B660)*(Seguimientos!$H$2:$H$1013&lt;&gt;""))=0,1,0))</f>
        <v/>
      </c>
      <c r="K660" s="7">
        <f>A660&amp;"|"&amp;B660</f>
        <v/>
      </c>
      <c r="L660" s="13" t="inlineStr">
        <is>
          <t>El sistema ESGA anexa propuesta de Resolución en borrador.</t>
        </is>
      </c>
    </row>
    <row r="661">
      <c r="A661" s="7" t="inlineStr">
        <is>
          <t>sga-2023-3</t>
        </is>
      </c>
      <c r="B661" s="7" t="n">
        <v>5</v>
      </c>
      <c r="C661" s="7" t="inlineStr">
        <is>
          <t>SGA</t>
        </is>
      </c>
      <c r="D661" s="7" t="inlineStr">
        <is>
          <t>2023</t>
        </is>
      </c>
      <c r="E661" s="7" t="n">
        <v>3</v>
      </c>
      <c r="F661" s="8" t="n">
        <v>45838</v>
      </c>
      <c r="G661" s="7" t="inlineStr">
        <is>
          <t>DANIEL EDUARDO SOTO BERNAL</t>
        </is>
      </c>
      <c r="H661" s="14" t="n">
        <v>1.5</v>
      </c>
      <c r="I661" s="15">
        <f>IF(H661="","",H661/2)</f>
        <v/>
      </c>
      <c r="J661" s="7">
        <f>IF(H661="",0,IF(SUMPRODUCT((Seguimientos!$A$2:$A$1013=A661)*(Seguimientos!$F$2:$F$1013=F661)*(Seguimientos!$B$2:$B$1013&gt;B661)*(Seguimientos!$H$2:$H$1013&lt;&gt;""))=0,1,0))</f>
        <v/>
      </c>
      <c r="K661" s="7">
        <f>A661&amp;"|"&amp;B661</f>
        <v/>
      </c>
      <c r="L661" s="13" t="inlineStr">
        <is>
          <t>El Sistema de Gestión Ambiental ESGA anexa documento Borrador de la propuesta política ambiental, al igual trazabilidad de correos desde la alta dirección con observaciones a ella, sin aprobar esta actividad se mantiene abierta para obtener el lineamiento de la política ambiental en la universidad de Cundinamarca.</t>
        </is>
      </c>
    </row>
    <row r="662">
      <c r="A662" s="7" t="inlineStr">
        <is>
          <t>sga-2023-3</t>
        </is>
      </c>
      <c r="B662" s="7" t="n">
        <v>6</v>
      </c>
      <c r="C662" s="7" t="inlineStr">
        <is>
          <t>SGA</t>
        </is>
      </c>
      <c r="D662" s="7" t="inlineStr">
        <is>
          <t>2023</t>
        </is>
      </c>
      <c r="E662" s="7" t="n">
        <v>3</v>
      </c>
      <c r="F662" s="8" t="n">
        <v>45930</v>
      </c>
      <c r="G662" s="7" t="inlineStr">
        <is>
          <t>Sin registrar</t>
        </is>
      </c>
      <c r="H662" s="14" t="n">
        <v>1.5</v>
      </c>
      <c r="I662" s="15">
        <f>IF(H662="","",H662/2)</f>
        <v/>
      </c>
      <c r="J662" s="7">
        <f>IF(H662="",0,IF(SUMPRODUCT((Seguimientos!$A$2:$A$1013=A662)*(Seguimientos!$F$2:$F$1013=F662)*(Seguimientos!$B$2:$B$1013&gt;B662)*(Seguimientos!$H$2:$H$1013&lt;&gt;""))=0,1,0))</f>
        <v/>
      </c>
      <c r="K662" s="7">
        <f>A662&amp;"|"&amp;B662</f>
        <v/>
      </c>
      <c r="L662" s="13" t="inlineStr">
        <is>
          <t>El sistema SGA anexa propuesta de Resolución en borrador. Quedando a la espera de la presentacion de la resolucion formalizada para el proximo seguimiento.</t>
        </is>
      </c>
    </row>
    <row r="663">
      <c r="A663" s="7" t="inlineStr">
        <is>
          <t>sga-2024-1</t>
        </is>
      </c>
      <c r="B663" s="7" t="n">
        <v>1</v>
      </c>
      <c r="C663" s="7" t="inlineStr">
        <is>
          <t>SGA</t>
        </is>
      </c>
      <c r="D663" s="7" t="inlineStr">
        <is>
          <t>2024</t>
        </is>
      </c>
      <c r="E663" s="7" t="n">
        <v>1</v>
      </c>
      <c r="F663" s="8" t="n">
        <v>45777</v>
      </c>
      <c r="G663" s="7" t="inlineStr">
        <is>
          <t>DANIEL EDUARDO SOTO BERNAL</t>
        </is>
      </c>
      <c r="H663" s="14" t="n">
        <v>0</v>
      </c>
      <c r="I663" s="15">
        <f>IF(H663="","",H663/2)</f>
        <v/>
      </c>
      <c r="J663" s="7">
        <f>IF(H663="",0,IF(SUMPRODUCT((Seguimientos!$A$2:$A$1013=A663)*(Seguimientos!$F$2:$F$1013=F663)*(Seguimientos!$B$2:$B$1013&gt;B663)*(Seguimientos!$H$2:$H$1013&lt;&gt;""))=0,1,0))</f>
        <v/>
      </c>
      <c r="K663" s="7">
        <f>A663&amp;"|"&amp;B663</f>
        <v/>
      </c>
      <c r="L663" s="13" t="inlineStr"/>
    </row>
    <row r="664">
      <c r="A664" s="7" t="inlineStr">
        <is>
          <t>sga-2024-1</t>
        </is>
      </c>
      <c r="B664" s="7" t="n">
        <v>2</v>
      </c>
      <c r="C664" s="7" t="inlineStr">
        <is>
          <t>SGA</t>
        </is>
      </c>
      <c r="D664" s="7" t="inlineStr">
        <is>
          <t>2024</t>
        </is>
      </c>
      <c r="E664" s="7" t="n">
        <v>1</v>
      </c>
      <c r="F664" s="8" t="n">
        <v>45838</v>
      </c>
      <c r="G664" s="7" t="inlineStr">
        <is>
          <t>DANIEL EDUARDO SOTO BERNAL</t>
        </is>
      </c>
      <c r="H664" s="14" t="n">
        <v>1.5</v>
      </c>
      <c r="I664" s="15">
        <f>IF(H664="","",H664/2)</f>
        <v/>
      </c>
      <c r="J664" s="7">
        <f>IF(H664="",0,IF(SUMPRODUCT((Seguimientos!$A$2:$A$1013=A664)*(Seguimientos!$F$2:$F$1013=F664)*(Seguimientos!$B$2:$B$1013&gt;B664)*(Seguimientos!$H$2:$H$1013&lt;&gt;""))=0,1,0))</f>
        <v/>
      </c>
      <c r="K664" s="7">
        <f>A664&amp;"|"&amp;B664</f>
        <v/>
      </c>
      <c r="L664" s="13" t="inlineStr">
        <is>
          <t>El Sistema de Gestión Ambiental anexa documento PDF Diagnóstico de Políticas Nacionales e Internacionales sobre Cambio y Sostenibilidad Climática, relacionadas con la mitigación y adaptación al Cambio Climático. Anexo A9, se esperaba en modelo tipo informe dentro del Modelo de Operación Digital MOD.</t>
        </is>
      </c>
    </row>
    <row r="665">
      <c r="A665" s="7" t="inlineStr">
        <is>
          <t>sga-2024-1</t>
        </is>
      </c>
      <c r="B665" s="7" t="n">
        <v>3</v>
      </c>
      <c r="C665" s="7" t="inlineStr">
        <is>
          <t>SGA</t>
        </is>
      </c>
      <c r="D665" s="7" t="inlineStr">
        <is>
          <t>2024</t>
        </is>
      </c>
      <c r="E665" s="7" t="n">
        <v>1</v>
      </c>
      <c r="F665" s="8" t="n">
        <v>45930</v>
      </c>
      <c r="G665" s="7" t="inlineStr">
        <is>
          <t>JOAN IMAYINNE GALVIS MORENO</t>
        </is>
      </c>
      <c r="H665" s="14" t="n">
        <v>1.5</v>
      </c>
      <c r="I665" s="15">
        <f>IF(H665="","",H665/2)</f>
        <v/>
      </c>
      <c r="J665" s="7">
        <f>IF(H665="",0,IF(SUMPRODUCT((Seguimientos!$A$2:$A$1013=A665)*(Seguimientos!$F$2:$F$1013=F665)*(Seguimientos!$B$2:$B$1013&gt;B665)*(Seguimientos!$H$2:$H$1013&lt;&gt;""))=0,1,0))</f>
        <v/>
      </c>
      <c r="K665" s="7">
        <f>A665&amp;"|"&amp;B665</f>
        <v/>
      </c>
      <c r="L665" s="13" t="inlineStr">
        <is>
          <t>El Sistema de Gestión Ambiental anexa documento PDF Diagnóstico de Políticas Nacionales e Internacionales sobre Cambio y Sostenibilidad Climática, relacionadas con la mitigación y adaptación al Cambio Climático. Anexo A18, se esperaba en modelo tipo informe dentro del Modelo de Operación Digital MOD.</t>
        </is>
      </c>
    </row>
    <row r="666">
      <c r="A666" s="7" t="inlineStr">
        <is>
          <t>sga-2024-1</t>
        </is>
      </c>
      <c r="B666" s="7" t="n">
        <v>4</v>
      </c>
      <c r="C666" s="7" t="inlineStr">
        <is>
          <t>SGA</t>
        </is>
      </c>
      <c r="D666" s="7" t="inlineStr">
        <is>
          <t>2024</t>
        </is>
      </c>
      <c r="E666" s="7" t="n">
        <v>1</v>
      </c>
      <c r="F666" s="8" t="n">
        <v>46021</v>
      </c>
      <c r="G666" s="7" t="inlineStr">
        <is>
          <t>JOAN IMAYINNE GALVIS MORENO</t>
        </is>
      </c>
      <c r="H666" s="14" t="n">
        <v>1.5</v>
      </c>
      <c r="I666" s="15">
        <f>IF(H666="","",H666/2)</f>
        <v/>
      </c>
      <c r="J666" s="7">
        <f>IF(H666="",0,IF(SUMPRODUCT((Seguimientos!$A$2:$A$1013=A666)*(Seguimientos!$F$2:$F$1013=F666)*(Seguimientos!$B$2:$B$1013&gt;B666)*(Seguimientos!$H$2:$H$1013&lt;&gt;""))=0,1,0))</f>
        <v/>
      </c>
      <c r="K666" s="7">
        <f>A666&amp;"|"&amp;B666</f>
        <v/>
      </c>
      <c r="L666" s="13" t="inlineStr"/>
    </row>
    <row r="667">
      <c r="A667" s="7" t="inlineStr">
        <is>
          <t>sga-2024-1</t>
        </is>
      </c>
      <c r="B667" s="7" t="n">
        <v>5</v>
      </c>
      <c r="C667" s="7" t="inlineStr">
        <is>
          <t>SGA</t>
        </is>
      </c>
      <c r="D667" s="7" t="inlineStr">
        <is>
          <t>2024</t>
        </is>
      </c>
      <c r="E667" s="7" t="n">
        <v>1</v>
      </c>
      <c r="F667" s="8" t="n">
        <v>46203</v>
      </c>
      <c r="G667" s="7" t="inlineStr">
        <is>
          <t>JOAN IMAYINNE GALVIS MORENO</t>
        </is>
      </c>
      <c r="H667" s="14" t="n">
        <v>2</v>
      </c>
      <c r="I667" s="15">
        <f>IF(H667="","",H667/2)</f>
        <v/>
      </c>
      <c r="J667" s="7">
        <f>IF(H667="",0,IF(SUMPRODUCT((Seguimientos!$A$2:$A$1013=A667)*(Seguimientos!$F$2:$F$1013=F667)*(Seguimientos!$B$2:$B$1013&gt;B667)*(Seguimientos!$H$2:$H$1013&lt;&gt;""))=0,1,0))</f>
        <v/>
      </c>
      <c r="K667" s="7">
        <f>A667&amp;"|"&amp;B667</f>
        <v/>
      </c>
      <c r="L667" s="13" t="inlineStr">
        <is>
          <t>El Sistema de Gestión Ambiental anexa documento PDF Diagnóstico de Políticas Nacionales e Internacionales sobre Cambio y Sostenibilidad Climática, relacionadas con la mitigación y adaptación al Cambio Climático.</t>
        </is>
      </c>
    </row>
    <row r="668">
      <c r="A668" s="7" t="inlineStr">
        <is>
          <t>sga-2024-2</t>
        </is>
      </c>
      <c r="B668" s="7" t="n">
        <v>1</v>
      </c>
      <c r="C668" s="7" t="inlineStr">
        <is>
          <t>SGA</t>
        </is>
      </c>
      <c r="D668" s="7" t="inlineStr">
        <is>
          <t>2024</t>
        </is>
      </c>
      <c r="E668" s="7" t="n">
        <v>2</v>
      </c>
      <c r="F668" s="8" t="n">
        <v>45777</v>
      </c>
      <c r="G668" s="7" t="inlineStr">
        <is>
          <t>DANIEL EDUARDO SOTO BERNAL</t>
        </is>
      </c>
      <c r="H668" s="14" t="n">
        <v>0</v>
      </c>
      <c r="I668" s="15">
        <f>IF(H668="","",H668/2)</f>
        <v/>
      </c>
      <c r="J668" s="7">
        <f>IF(H668="",0,IF(SUMPRODUCT((Seguimientos!$A$2:$A$1013=A668)*(Seguimientos!$F$2:$F$1013=F668)*(Seguimientos!$B$2:$B$1013&gt;B668)*(Seguimientos!$H$2:$H$1013&lt;&gt;""))=0,1,0))</f>
        <v/>
      </c>
      <c r="K668" s="7">
        <f>A668&amp;"|"&amp;B668</f>
        <v/>
      </c>
      <c r="L668" s="13" t="inlineStr"/>
    </row>
    <row r="669">
      <c r="A669" s="7" t="inlineStr">
        <is>
          <t>sga-2024-2</t>
        </is>
      </c>
      <c r="B669" s="7" t="n">
        <v>2</v>
      </c>
      <c r="C669" s="7" t="inlineStr">
        <is>
          <t>SGA</t>
        </is>
      </c>
      <c r="D669" s="7" t="inlineStr">
        <is>
          <t>2024</t>
        </is>
      </c>
      <c r="E669" s="7" t="n">
        <v>2</v>
      </c>
      <c r="F669" s="8" t="n">
        <v>45838</v>
      </c>
      <c r="G669" s="7" t="inlineStr">
        <is>
          <t>DANIEL EDUARDO SOTO BERNAL</t>
        </is>
      </c>
      <c r="H669" s="14" t="n">
        <v>0</v>
      </c>
      <c r="I669" s="15">
        <f>IF(H669="","",H669/2)</f>
        <v/>
      </c>
      <c r="J669" s="7">
        <f>IF(H669="",0,IF(SUMPRODUCT((Seguimientos!$A$2:$A$1013=A669)*(Seguimientos!$F$2:$F$1013=F669)*(Seguimientos!$B$2:$B$1013&gt;B669)*(Seguimientos!$H$2:$H$1013&lt;&gt;""))=0,1,0))</f>
        <v/>
      </c>
      <c r="K669" s="7">
        <f>A669&amp;"|"&amp;B669</f>
        <v/>
      </c>
      <c r="L669" s="13" t="inlineStr"/>
    </row>
    <row r="670">
      <c r="A670" s="7" t="inlineStr">
        <is>
          <t>sga-2024-2</t>
        </is>
      </c>
      <c r="B670" s="7" t="n">
        <v>3</v>
      </c>
      <c r="C670" s="7" t="inlineStr">
        <is>
          <t>SGA</t>
        </is>
      </c>
      <c r="D670" s="7" t="inlineStr">
        <is>
          <t>2024</t>
        </is>
      </c>
      <c r="E670" s="7" t="n">
        <v>2</v>
      </c>
      <c r="F670" s="8" t="n">
        <v>45930</v>
      </c>
      <c r="G670" s="7" t="inlineStr">
        <is>
          <t>JOAN IMAYINNE GALVIS MORENO</t>
        </is>
      </c>
      <c r="H670" s="14" t="n">
        <v>1.5</v>
      </c>
      <c r="I670" s="15">
        <f>IF(H670="","",H670/2)</f>
        <v/>
      </c>
      <c r="J670" s="7">
        <f>IF(H670="",0,IF(SUMPRODUCT((Seguimientos!$A$2:$A$1013=A670)*(Seguimientos!$F$2:$F$1013=F670)*(Seguimientos!$B$2:$B$1013&gt;B670)*(Seguimientos!$H$2:$H$1013&lt;&gt;""))=0,1,0))</f>
        <v/>
      </c>
      <c r="K670" s="7">
        <f>A670&amp;"|"&amp;B670</f>
        <v/>
      </c>
      <c r="L670" s="13" t="inlineStr">
        <is>
          <t>Se realiza entrega de Informe de Lienamientos realcionados con CC. Anexo 16, pero este no se encuentra en un formnato valido de la universidad de Cundinamarca, por esto se insta realizar el camio.</t>
        </is>
      </c>
    </row>
    <row r="671">
      <c r="A671" s="7" t="inlineStr">
        <is>
          <t>sga-2024-2</t>
        </is>
      </c>
      <c r="B671" s="7" t="n">
        <v>4</v>
      </c>
      <c r="C671" s="7" t="inlineStr">
        <is>
          <t>SGA</t>
        </is>
      </c>
      <c r="D671" s="7" t="inlineStr">
        <is>
          <t>2024</t>
        </is>
      </c>
      <c r="E671" s="7" t="n">
        <v>2</v>
      </c>
      <c r="F671" s="8" t="n">
        <v>46021</v>
      </c>
      <c r="G671" s="7" t="inlineStr">
        <is>
          <t>JOAN IMAYINNE GALVIS MORENO</t>
        </is>
      </c>
      <c r="H671" s="14" t="n">
        <v>2</v>
      </c>
      <c r="I671" s="15">
        <f>IF(H671="","",H671/2)</f>
        <v/>
      </c>
      <c r="J671" s="7">
        <f>IF(H671="",0,IF(SUMPRODUCT((Seguimientos!$A$2:$A$1013=A671)*(Seguimientos!$F$2:$F$1013=F671)*(Seguimientos!$B$2:$B$1013&gt;B671)*(Seguimientos!$H$2:$H$1013&lt;&gt;""))=0,1,0))</f>
        <v/>
      </c>
      <c r="K671" s="7">
        <f>A671&amp;"|"&amp;B671</f>
        <v/>
      </c>
      <c r="L671" s="13" t="inlineStr">
        <is>
          <t>Se remite por parte de la Coordinacion del Sistema Ambiental lineamientos relacionaldos con acciones climaticas en la cual se da una evaluacion institucional y se generan recomendaciones que se deben realizar s. Seria bueno demostrar como se ajusta en lineamientos.</t>
        </is>
      </c>
    </row>
    <row r="672">
      <c r="A672" s="7" t="inlineStr">
        <is>
          <t>sga-2024-2</t>
        </is>
      </c>
      <c r="B672" s="7" t="n">
        <v>5</v>
      </c>
      <c r="C672" s="7" t="inlineStr">
        <is>
          <t>SGA</t>
        </is>
      </c>
      <c r="D672" s="7" t="inlineStr">
        <is>
          <t>2024</t>
        </is>
      </c>
      <c r="E672" s="7" t="n">
        <v>2</v>
      </c>
      <c r="F672" s="8" t="n">
        <v>46203</v>
      </c>
      <c r="G672" s="7" t="inlineStr">
        <is>
          <t>JOAN IMAYINNE GALVIS MORENO</t>
        </is>
      </c>
      <c r="H672" s="14" t="n">
        <v>2</v>
      </c>
      <c r="I672" s="15">
        <f>IF(H672="","",H672/2)</f>
        <v/>
      </c>
      <c r="J672" s="7">
        <f>IF(H672="",0,IF(SUMPRODUCT((Seguimientos!$A$2:$A$1013=A672)*(Seguimientos!$F$2:$F$1013=F672)*(Seguimientos!$B$2:$B$1013&gt;B672)*(Seguimientos!$H$2:$H$1013&lt;&gt;""))=0,1,0))</f>
        <v/>
      </c>
      <c r="K672" s="7">
        <f>A672&amp;"|"&amp;B672</f>
        <v/>
      </c>
      <c r="L672" s="13" t="inlineStr">
        <is>
          <t>Actividad cumplida</t>
        </is>
      </c>
    </row>
    <row r="673">
      <c r="A673" s="7" t="inlineStr">
        <is>
          <t>sga-2024-3</t>
        </is>
      </c>
      <c r="B673" s="7" t="n">
        <v>1</v>
      </c>
      <c r="C673" s="7" t="inlineStr">
        <is>
          <t>SGA</t>
        </is>
      </c>
      <c r="D673" s="7" t="inlineStr">
        <is>
          <t>2024</t>
        </is>
      </c>
      <c r="E673" s="7" t="n">
        <v>3</v>
      </c>
      <c r="F673" s="8" t="n">
        <v>45777</v>
      </c>
      <c r="G673" s="7" t="inlineStr">
        <is>
          <t>DANIEL EDUARDO SOTO BERNAL</t>
        </is>
      </c>
      <c r="H673" s="14" t="n">
        <v>0</v>
      </c>
      <c r="I673" s="15">
        <f>IF(H673="","",H673/2)</f>
        <v/>
      </c>
      <c r="J673" s="7">
        <f>IF(H673="",0,IF(SUMPRODUCT((Seguimientos!$A$2:$A$1013=A673)*(Seguimientos!$F$2:$F$1013=F673)*(Seguimientos!$B$2:$B$1013&gt;B673)*(Seguimientos!$H$2:$H$1013&lt;&gt;""))=0,1,0))</f>
        <v/>
      </c>
      <c r="K673" s="7">
        <f>A673&amp;"|"&amp;B673</f>
        <v/>
      </c>
      <c r="L673" s="13" t="inlineStr"/>
    </row>
    <row r="674">
      <c r="A674" s="7" t="inlineStr">
        <is>
          <t>sga-2024-3</t>
        </is>
      </c>
      <c r="B674" s="7" t="n">
        <v>2</v>
      </c>
      <c r="C674" s="7" t="inlineStr">
        <is>
          <t>SGA</t>
        </is>
      </c>
      <c r="D674" s="7" t="inlineStr">
        <is>
          <t>2024</t>
        </is>
      </c>
      <c r="E674" s="7" t="n">
        <v>3</v>
      </c>
      <c r="F674" s="8" t="n">
        <v>45838</v>
      </c>
      <c r="G674" s="7" t="inlineStr">
        <is>
          <t>DANIEL EDUARDO SOTO BERNAL</t>
        </is>
      </c>
      <c r="H674" s="14" t="n">
        <v>0</v>
      </c>
      <c r="I674" s="15">
        <f>IF(H674="","",H674/2)</f>
        <v/>
      </c>
      <c r="J674" s="7">
        <f>IF(H674="",0,IF(SUMPRODUCT((Seguimientos!$A$2:$A$1013=A674)*(Seguimientos!$F$2:$F$1013=F674)*(Seguimientos!$B$2:$B$1013&gt;B674)*(Seguimientos!$H$2:$H$1013&lt;&gt;""))=0,1,0))</f>
        <v/>
      </c>
      <c r="K674" s="7">
        <f>A674&amp;"|"&amp;B674</f>
        <v/>
      </c>
      <c r="L674" s="13" t="inlineStr"/>
    </row>
    <row r="675">
      <c r="A675" s="7" t="inlineStr">
        <is>
          <t>sga-2024-3</t>
        </is>
      </c>
      <c r="B675" s="7" t="n">
        <v>3</v>
      </c>
      <c r="C675" s="7" t="inlineStr">
        <is>
          <t>SGA</t>
        </is>
      </c>
      <c r="D675" s="7" t="inlineStr">
        <is>
          <t>2024</t>
        </is>
      </c>
      <c r="E675" s="7" t="n">
        <v>3</v>
      </c>
      <c r="F675" s="8" t="n">
        <v>45930</v>
      </c>
      <c r="G675" s="7" t="inlineStr">
        <is>
          <t>JOAN IMAYINNE GALVIS MORENO</t>
        </is>
      </c>
      <c r="H675" s="14" t="n">
        <v>1</v>
      </c>
      <c r="I675" s="15">
        <f>IF(H675="","",H675/2)</f>
        <v/>
      </c>
      <c r="J675" s="7">
        <f>IF(H675="",0,IF(SUMPRODUCT((Seguimientos!$A$2:$A$1013=A675)*(Seguimientos!$F$2:$F$1013=F675)*(Seguimientos!$B$2:$B$1013&gt;B675)*(Seguimientos!$H$2:$H$1013&lt;&gt;""))=0,1,0))</f>
        <v/>
      </c>
      <c r="K675" s="7">
        <f>A675&amp;"|"&amp;B675</f>
        <v/>
      </c>
      <c r="L675" s="13" t="inlineStr">
        <is>
          <t>Se identifican correos en donde se invita a participar en las jonadas de sensibilizacion, pero no se detalla la participacion en las mismas en actas o evidencias de la reunion. Anexo 17</t>
        </is>
      </c>
    </row>
    <row r="676">
      <c r="A676" s="7" t="inlineStr">
        <is>
          <t>sga-2024-3</t>
        </is>
      </c>
      <c r="B676" s="7" t="n">
        <v>4</v>
      </c>
      <c r="C676" s="7" t="inlineStr">
        <is>
          <t>SGA</t>
        </is>
      </c>
      <c r="D676" s="7" t="inlineStr">
        <is>
          <t>2024</t>
        </is>
      </c>
      <c r="E676" s="7" t="n">
        <v>3</v>
      </c>
      <c r="F676" s="8" t="n">
        <v>46021</v>
      </c>
      <c r="G676" s="7" t="inlineStr">
        <is>
          <t>JOAN IMAYINNE GALVIS MORENO</t>
        </is>
      </c>
      <c r="H676" s="14" t="n">
        <v>2</v>
      </c>
      <c r="I676" s="15">
        <f>IF(H676="","",H676/2)</f>
        <v/>
      </c>
      <c r="J676" s="7">
        <f>IF(H676="",0,IF(SUMPRODUCT((Seguimientos!$A$2:$A$1013=A676)*(Seguimientos!$F$2:$F$1013=F676)*(Seguimientos!$B$2:$B$1013&gt;B676)*(Seguimientos!$H$2:$H$1013&lt;&gt;""))=0,1,0))</f>
        <v/>
      </c>
      <c r="K676" s="7">
        <f>A676&amp;"|"&amp;B676</f>
        <v/>
      </c>
      <c r="L676" s="13" t="inlineStr">
        <is>
          <t>Se realiza participacion en actividades de cambio climatica con la Gobernacion de Cundinamarca la cual tuvo tres sesiones diferentes, ademas se realiza voluntariado con la corporacion utonoma regional CAR.</t>
        </is>
      </c>
    </row>
    <row r="677">
      <c r="A677" s="7" t="inlineStr">
        <is>
          <t>sga-2024-3</t>
        </is>
      </c>
      <c r="B677" s="7" t="n">
        <v>5</v>
      </c>
      <c r="C677" s="7" t="inlineStr">
        <is>
          <t>SGA</t>
        </is>
      </c>
      <c r="D677" s="7" t="inlineStr">
        <is>
          <t>2024</t>
        </is>
      </c>
      <c r="E677" s="7" t="n">
        <v>3</v>
      </c>
      <c r="F677" s="8" t="n">
        <v>46203</v>
      </c>
      <c r="G677" s="7" t="inlineStr">
        <is>
          <t>JOAN IMAYINNE GALVIS MORENO</t>
        </is>
      </c>
      <c r="H677" s="14" t="n">
        <v>2</v>
      </c>
      <c r="I677" s="15">
        <f>IF(H677="","",H677/2)</f>
        <v/>
      </c>
      <c r="J677" s="7">
        <f>IF(H677="",0,IF(SUMPRODUCT((Seguimientos!$A$2:$A$1013=A677)*(Seguimientos!$F$2:$F$1013=F677)*(Seguimientos!$B$2:$B$1013&gt;B677)*(Seguimientos!$H$2:$H$1013&lt;&gt;""))=0,1,0))</f>
        <v/>
      </c>
      <c r="K677" s="7">
        <f>A677&amp;"|"&amp;B677</f>
        <v/>
      </c>
      <c r="L677" s="13" t="inlineStr">
        <is>
          <t>Actividad cumplida</t>
        </is>
      </c>
    </row>
    <row r="678">
      <c r="A678" s="7" t="inlineStr">
        <is>
          <t>sga-2024-3-sn2y0blt</t>
        </is>
      </c>
      <c r="B678" s="7" t="n">
        <v>1</v>
      </c>
      <c r="C678" s="7" t="inlineStr">
        <is>
          <t>SGA</t>
        </is>
      </c>
      <c r="D678" s="7" t="inlineStr">
        <is>
          <t>2024</t>
        </is>
      </c>
      <c r="E678" s="7" t="n">
        <v>3</v>
      </c>
      <c r="F678" s="8" t="n">
        <v>45777</v>
      </c>
      <c r="G678" s="7" t="inlineStr">
        <is>
          <t>DANIEL EDUARDO SOTO BERNAL</t>
        </is>
      </c>
      <c r="H678" s="14" t="n">
        <v>0</v>
      </c>
      <c r="I678" s="15">
        <f>IF(H678="","",H678/2)</f>
        <v/>
      </c>
      <c r="J678" s="7">
        <f>IF(H678="",0,IF(SUMPRODUCT((Seguimientos!$A$2:$A$1013=A678)*(Seguimientos!$F$2:$F$1013=F678)*(Seguimientos!$B$2:$B$1013&gt;B678)*(Seguimientos!$H$2:$H$1013&lt;&gt;""))=0,1,0))</f>
        <v/>
      </c>
      <c r="K678" s="7">
        <f>A678&amp;"|"&amp;B678</f>
        <v/>
      </c>
      <c r="L678" s="13" t="inlineStr"/>
    </row>
    <row r="679">
      <c r="A679" s="7" t="inlineStr">
        <is>
          <t>sga-2024-3-sn2y0blt</t>
        </is>
      </c>
      <c r="B679" s="7" t="n">
        <v>2</v>
      </c>
      <c r="C679" s="7" t="inlineStr">
        <is>
          <t>SGA</t>
        </is>
      </c>
      <c r="D679" s="7" t="inlineStr">
        <is>
          <t>2024</t>
        </is>
      </c>
      <c r="E679" s="7" t="n">
        <v>3</v>
      </c>
      <c r="F679" s="8" t="n">
        <v>45838</v>
      </c>
      <c r="G679" s="7" t="inlineStr">
        <is>
          <t>DANIEL EDUARDO SOTO BERNAL</t>
        </is>
      </c>
      <c r="H679" s="14" t="n">
        <v>0</v>
      </c>
      <c r="I679" s="15">
        <f>IF(H679="","",H679/2)</f>
        <v/>
      </c>
      <c r="J679" s="7">
        <f>IF(H679="",0,IF(SUMPRODUCT((Seguimientos!$A$2:$A$1013=A679)*(Seguimientos!$F$2:$F$1013=F679)*(Seguimientos!$B$2:$B$1013&gt;B679)*(Seguimientos!$H$2:$H$1013&lt;&gt;""))=0,1,0))</f>
        <v/>
      </c>
      <c r="K679" s="7">
        <f>A679&amp;"|"&amp;B679</f>
        <v/>
      </c>
      <c r="L679" s="13" t="inlineStr"/>
    </row>
    <row r="680">
      <c r="A680" s="7" t="inlineStr">
        <is>
          <t>sga-2024-3-sn2y0blt</t>
        </is>
      </c>
      <c r="B680" s="7" t="n">
        <v>3</v>
      </c>
      <c r="C680" s="7" t="inlineStr">
        <is>
          <t>SGA</t>
        </is>
      </c>
      <c r="D680" s="7" t="inlineStr">
        <is>
          <t>2024</t>
        </is>
      </c>
      <c r="E680" s="7" t="n">
        <v>3</v>
      </c>
      <c r="F680" s="8" t="n">
        <v>45930</v>
      </c>
      <c r="G680" s="7" t="inlineStr">
        <is>
          <t>JOAN IMAYINNE GALVIS MORENO</t>
        </is>
      </c>
      <c r="H680" s="14" t="n">
        <v>1</v>
      </c>
      <c r="I680" s="15">
        <f>IF(H680="","",H680/2)</f>
        <v/>
      </c>
      <c r="J680" s="7">
        <f>IF(H680="",0,IF(SUMPRODUCT((Seguimientos!$A$2:$A$1013=A680)*(Seguimientos!$F$2:$F$1013=F680)*(Seguimientos!$B$2:$B$1013&gt;B680)*(Seguimientos!$H$2:$H$1013&lt;&gt;""))=0,1,0))</f>
        <v/>
      </c>
      <c r="K680" s="7">
        <f>A680&amp;"|"&amp;B680</f>
        <v/>
      </c>
      <c r="L680" s="13" t="inlineStr">
        <is>
          <t>Se realiza participacion por parte del grupo del Sistema de Gestion Ambiental al voluntario Ambiental de la CAR, pero no se demuestra una actividad realizada en dicho voluntariado. Anexo 18</t>
        </is>
      </c>
    </row>
    <row r="681">
      <c r="A681" s="7" t="inlineStr">
        <is>
          <t>sga-2024-3-sn2y0blt</t>
        </is>
      </c>
      <c r="B681" s="7" t="n">
        <v>4</v>
      </c>
      <c r="C681" s="7" t="inlineStr">
        <is>
          <t>SGA</t>
        </is>
      </c>
      <c r="D681" s="7" t="inlineStr">
        <is>
          <t>2024</t>
        </is>
      </c>
      <c r="E681" s="7" t="n">
        <v>3</v>
      </c>
      <c r="F681" s="8" t="n">
        <v>46021</v>
      </c>
      <c r="G681" s="7" t="inlineStr">
        <is>
          <t>JOAN IMAYINNE GALVIS MORENO</t>
        </is>
      </c>
      <c r="H681" s="14" t="n">
        <v>2</v>
      </c>
      <c r="I681" s="15">
        <f>IF(H681="","",H681/2)</f>
        <v/>
      </c>
      <c r="J681" s="7">
        <f>IF(H681="",0,IF(SUMPRODUCT((Seguimientos!$A$2:$A$1013=A681)*(Seguimientos!$F$2:$F$1013=F681)*(Seguimientos!$B$2:$B$1013&gt;B681)*(Seguimientos!$H$2:$H$1013&lt;&gt;""))=0,1,0))</f>
        <v/>
      </c>
      <c r="K681" s="7">
        <f>A681&amp;"|"&amp;B681</f>
        <v/>
      </c>
      <c r="L681" s="13" t="inlineStr">
        <is>
          <t>Se realiza participacion en actividades de cambio climatica con la Gobernacion de Cundinamarca la cual tuvo tres sesiones diferentes, ademas se realiza voluntariado con la corporacion utonoma regional CAR.</t>
        </is>
      </c>
    </row>
    <row r="682">
      <c r="A682" s="7" t="inlineStr">
        <is>
          <t>sga-2024-3-sn2y0blt</t>
        </is>
      </c>
      <c r="B682" s="7" t="n">
        <v>5</v>
      </c>
      <c r="C682" s="7" t="inlineStr">
        <is>
          <t>SGA</t>
        </is>
      </c>
      <c r="D682" s="7" t="inlineStr">
        <is>
          <t>2024</t>
        </is>
      </c>
      <c r="E682" s="7" t="n">
        <v>3</v>
      </c>
      <c r="F682" s="8" t="n">
        <v>46203</v>
      </c>
      <c r="G682" s="7" t="inlineStr">
        <is>
          <t>JOAN IMAYINNE GALVIS MORENO</t>
        </is>
      </c>
      <c r="H682" s="14" t="n">
        <v>2</v>
      </c>
      <c r="I682" s="15">
        <f>IF(H682="","",H682/2)</f>
        <v/>
      </c>
      <c r="J682" s="7">
        <f>IF(H682="",0,IF(SUMPRODUCT((Seguimientos!$A$2:$A$1013=A682)*(Seguimientos!$F$2:$F$1013=F682)*(Seguimientos!$B$2:$B$1013&gt;B682)*(Seguimientos!$H$2:$H$1013&lt;&gt;""))=0,1,0))</f>
        <v/>
      </c>
      <c r="K682" s="7">
        <f>A682&amp;"|"&amp;B682</f>
        <v/>
      </c>
      <c r="L682" s="13" t="inlineStr">
        <is>
          <t>Actividad cumplida</t>
        </is>
      </c>
    </row>
    <row r="683">
      <c r="A683" s="7" t="inlineStr">
        <is>
          <t>sga-2024-4</t>
        </is>
      </c>
      <c r="B683" s="7" t="n">
        <v>1</v>
      </c>
      <c r="C683" s="7" t="inlineStr">
        <is>
          <t>SGA</t>
        </is>
      </c>
      <c r="D683" s="7" t="inlineStr">
        <is>
          <t>2024</t>
        </is>
      </c>
      <c r="E683" s="7" t="n">
        <v>4</v>
      </c>
      <c r="F683" s="8" t="n">
        <v>45777</v>
      </c>
      <c r="G683" s="7" t="inlineStr">
        <is>
          <t>DANIEL EDUARDO SOTO BERNAL</t>
        </is>
      </c>
      <c r="H683" s="14" t="n">
        <v>0</v>
      </c>
      <c r="I683" s="15">
        <f>IF(H683="","",H683/2)</f>
        <v/>
      </c>
      <c r="J683" s="7">
        <f>IF(H683="",0,IF(SUMPRODUCT((Seguimientos!$A$2:$A$1013=A683)*(Seguimientos!$F$2:$F$1013=F683)*(Seguimientos!$B$2:$B$1013&gt;B683)*(Seguimientos!$H$2:$H$1013&lt;&gt;""))=0,1,0))</f>
        <v/>
      </c>
      <c r="K683" s="7">
        <f>A683&amp;"|"&amp;B683</f>
        <v/>
      </c>
      <c r="L683" s="13" t="inlineStr"/>
    </row>
    <row r="684">
      <c r="A684" s="7" t="inlineStr">
        <is>
          <t>sga-2024-4</t>
        </is>
      </c>
      <c r="B684" s="7" t="n">
        <v>2</v>
      </c>
      <c r="C684" s="7" t="inlineStr">
        <is>
          <t>SGA</t>
        </is>
      </c>
      <c r="D684" s="7" t="inlineStr">
        <is>
          <t>2024</t>
        </is>
      </c>
      <c r="E684" s="7" t="n">
        <v>4</v>
      </c>
      <c r="F684" s="8" t="n">
        <v>45838</v>
      </c>
      <c r="G684" s="7" t="inlineStr">
        <is>
          <t>DANIEL EDUARDO SOTO BERNAL</t>
        </is>
      </c>
      <c r="H684" s="14" t="n">
        <v>2</v>
      </c>
      <c r="I684" s="15">
        <f>IF(H684="","",H684/2)</f>
        <v/>
      </c>
      <c r="J684" s="7">
        <f>IF(H684="",0,IF(SUMPRODUCT((Seguimientos!$A$2:$A$1013=A684)*(Seguimientos!$F$2:$F$1013=F684)*(Seguimientos!$B$2:$B$1013&gt;B684)*(Seguimientos!$H$2:$H$1013&lt;&gt;""))=0,1,0))</f>
        <v/>
      </c>
      <c r="K684" s="7">
        <f>A684&amp;"|"&amp;B684</f>
        <v/>
      </c>
      <c r="L684" s="13" t="inlineStr">
        <is>
          <t>El Sistema de Gestión Ambiental anexa Matriz de indicadores relacionados con Cambio Climático. Anexo 10</t>
        </is>
      </c>
    </row>
    <row r="685">
      <c r="A685" s="7" t="inlineStr">
        <is>
          <t>sga-2024-4</t>
        </is>
      </c>
      <c r="B685" s="7" t="n">
        <v>3</v>
      </c>
      <c r="C685" s="7" t="inlineStr">
        <is>
          <t>SGA</t>
        </is>
      </c>
      <c r="D685" s="7" t="inlineStr">
        <is>
          <t>2024</t>
        </is>
      </c>
      <c r="E685" s="7" t="n">
        <v>4</v>
      </c>
      <c r="F685" s="8" t="n">
        <v>45930</v>
      </c>
      <c r="G685" s="7" t="inlineStr">
        <is>
          <t>JOAN IMAYINNE GALVIS MORENO</t>
        </is>
      </c>
      <c r="H685" s="14" t="n">
        <v>2</v>
      </c>
      <c r="I685" s="15">
        <f>IF(H685="","",H685/2)</f>
        <v/>
      </c>
      <c r="J685" s="7">
        <f>IF(H685="",0,IF(SUMPRODUCT((Seguimientos!$A$2:$A$1013=A685)*(Seguimientos!$F$2:$F$1013=F685)*(Seguimientos!$B$2:$B$1013&gt;B685)*(Seguimientos!$H$2:$H$1013&lt;&gt;""))=0,1,0))</f>
        <v/>
      </c>
      <c r="K685" s="7">
        <f>A685&amp;"|"&amp;B685</f>
        <v/>
      </c>
      <c r="L685" s="13" t="inlineStr">
        <is>
          <t>Actividad cumplida</t>
        </is>
      </c>
    </row>
    <row r="686">
      <c r="A686" s="7" t="inlineStr">
        <is>
          <t>sga-2024-4</t>
        </is>
      </c>
      <c r="B686" s="7" t="n">
        <v>4</v>
      </c>
      <c r="C686" s="7" t="inlineStr">
        <is>
          <t>SGA</t>
        </is>
      </c>
      <c r="D686" s="7" t="inlineStr">
        <is>
          <t>2024</t>
        </is>
      </c>
      <c r="E686" s="7" t="n">
        <v>4</v>
      </c>
      <c r="F686" s="8" t="n">
        <v>46021</v>
      </c>
      <c r="G686" s="7" t="inlineStr">
        <is>
          <t>JOAN IMAYINNE GALVIS MORENO</t>
        </is>
      </c>
      <c r="H686" s="14" t="n">
        <v>2</v>
      </c>
      <c r="I686" s="15">
        <f>IF(H686="","",H686/2)</f>
        <v/>
      </c>
      <c r="J686" s="7">
        <f>IF(H686="",0,IF(SUMPRODUCT((Seguimientos!$A$2:$A$1013=A686)*(Seguimientos!$F$2:$F$1013=F686)*(Seguimientos!$B$2:$B$1013&gt;B686)*(Seguimientos!$H$2:$H$1013&lt;&gt;""))=0,1,0))</f>
        <v/>
      </c>
      <c r="K686" s="7">
        <f>A686&amp;"|"&amp;B686</f>
        <v/>
      </c>
      <c r="L686" s="13" t="inlineStr">
        <is>
          <t>Actividad cumplida</t>
        </is>
      </c>
    </row>
    <row r="687">
      <c r="A687" s="7" t="inlineStr">
        <is>
          <t>sga-2024-4</t>
        </is>
      </c>
      <c r="B687" s="7" t="n">
        <v>5</v>
      </c>
      <c r="C687" s="7" t="inlineStr">
        <is>
          <t>SGA</t>
        </is>
      </c>
      <c r="D687" s="7" t="inlineStr">
        <is>
          <t>2024</t>
        </is>
      </c>
      <c r="E687" s="7" t="n">
        <v>4</v>
      </c>
      <c r="F687" s="8" t="n">
        <v>46203</v>
      </c>
      <c r="G687" s="7" t="inlineStr">
        <is>
          <t>JOAN IMAYINNE GALVIS MORENO</t>
        </is>
      </c>
      <c r="H687" s="14" t="n">
        <v>2</v>
      </c>
      <c r="I687" s="15">
        <f>IF(H687="","",H687/2)</f>
        <v/>
      </c>
      <c r="J687" s="7">
        <f>IF(H687="",0,IF(SUMPRODUCT((Seguimientos!$A$2:$A$1013=A687)*(Seguimientos!$F$2:$F$1013=F687)*(Seguimientos!$B$2:$B$1013&gt;B687)*(Seguimientos!$H$2:$H$1013&lt;&gt;""))=0,1,0))</f>
        <v/>
      </c>
      <c r="K687" s="7">
        <f>A687&amp;"|"&amp;B687</f>
        <v/>
      </c>
      <c r="L687" s="13" t="inlineStr">
        <is>
          <t>Actividad cumplida</t>
        </is>
      </c>
    </row>
    <row r="688">
      <c r="A688" s="7" t="inlineStr">
        <is>
          <t>sga-2024-5</t>
        </is>
      </c>
      <c r="B688" s="7" t="n">
        <v>1</v>
      </c>
      <c r="C688" s="7" t="inlineStr">
        <is>
          <t>SGA</t>
        </is>
      </c>
      <c r="D688" s="7" t="inlineStr">
        <is>
          <t>2024</t>
        </is>
      </c>
      <c r="E688" s="7" t="n">
        <v>5</v>
      </c>
      <c r="F688" s="8" t="n">
        <v>45777</v>
      </c>
      <c r="G688" s="7" t="inlineStr">
        <is>
          <t>DANIEL EDUARDO SOTO BERNAL</t>
        </is>
      </c>
      <c r="H688" s="14" t="n">
        <v>0</v>
      </c>
      <c r="I688" s="15">
        <f>IF(H688="","",H688/2)</f>
        <v/>
      </c>
      <c r="J688" s="7">
        <f>IF(H688="",0,IF(SUMPRODUCT((Seguimientos!$A$2:$A$1013=A688)*(Seguimientos!$F$2:$F$1013=F688)*(Seguimientos!$B$2:$B$1013&gt;B688)*(Seguimientos!$H$2:$H$1013&lt;&gt;""))=0,1,0))</f>
        <v/>
      </c>
      <c r="K688" s="7">
        <f>A688&amp;"|"&amp;B688</f>
        <v/>
      </c>
      <c r="L688" s="13" t="inlineStr"/>
    </row>
    <row r="689">
      <c r="A689" s="7" t="inlineStr">
        <is>
          <t>sga-2024-5</t>
        </is>
      </c>
      <c r="B689" s="7" t="n">
        <v>2</v>
      </c>
      <c r="C689" s="7" t="inlineStr">
        <is>
          <t>SGA</t>
        </is>
      </c>
      <c r="D689" s="7" t="inlineStr">
        <is>
          <t>2024</t>
        </is>
      </c>
      <c r="E689" s="7" t="n">
        <v>5</v>
      </c>
      <c r="F689" s="8" t="n">
        <v>45838</v>
      </c>
      <c r="G689" s="7" t="inlineStr">
        <is>
          <t>DANIEL EDUARDO SOTO BERNAL</t>
        </is>
      </c>
      <c r="H689" s="14" t="n">
        <v>1</v>
      </c>
      <c r="I689" s="15">
        <f>IF(H689="","",H689/2)</f>
        <v/>
      </c>
      <c r="J689" s="7">
        <f>IF(H689="",0,IF(SUMPRODUCT((Seguimientos!$A$2:$A$1013=A689)*(Seguimientos!$F$2:$F$1013=F689)*(Seguimientos!$B$2:$B$1013&gt;B689)*(Seguimientos!$H$2:$H$1013&lt;&gt;""))=0,1,0))</f>
        <v/>
      </c>
      <c r="K689" s="7">
        <f>A689&amp;"|"&amp;B689</f>
        <v/>
      </c>
      <c r="L689" s="13" t="inlineStr">
        <is>
          <t>Se anexa diapositivas de medición de huella de Carbono 2023. Anexo 11. y Se realiza la solicitud del servicio a Fenalco Solidario par medición de vigencia 2024.</t>
        </is>
      </c>
    </row>
    <row r="690">
      <c r="A690" s="7" t="inlineStr">
        <is>
          <t>sga-2024-5</t>
        </is>
      </c>
      <c r="B690" s="7" t="n">
        <v>3</v>
      </c>
      <c r="C690" s="7" t="inlineStr">
        <is>
          <t>SGA</t>
        </is>
      </c>
      <c r="D690" s="7" t="inlineStr">
        <is>
          <t>2024</t>
        </is>
      </c>
      <c r="E690" s="7" t="n">
        <v>5</v>
      </c>
      <c r="F690" s="8" t="n">
        <v>45930</v>
      </c>
      <c r="G690" s="7" t="inlineStr">
        <is>
          <t>JOAN IMAYINNE GALVIS MORENO</t>
        </is>
      </c>
      <c r="H690" s="14" t="n">
        <v>1</v>
      </c>
      <c r="I690" s="15">
        <f>IF(H690="","",H690/2)</f>
        <v/>
      </c>
      <c r="J690" s="7">
        <f>IF(H690="",0,IF(SUMPRODUCT((Seguimientos!$A$2:$A$1013=A690)*(Seguimientos!$F$2:$F$1013=F690)*(Seguimientos!$B$2:$B$1013&gt;B690)*(Seguimientos!$H$2:$H$1013&lt;&gt;""))=0,1,0))</f>
        <v/>
      </c>
      <c r="K690" s="7">
        <f>A690&amp;"|"&amp;B690</f>
        <v/>
      </c>
      <c r="L690" s="13" t="inlineStr">
        <is>
          <t>Se recibe Informe de medición de huella de Carbono 2023. Anexo 11. y Se realiza la solicitud del servicio a Fenalco Solidario par medición de vigencia 2024. Pero hace falta la respuesta de la solicitud .</t>
        </is>
      </c>
    </row>
    <row r="691">
      <c r="A691" s="7" t="inlineStr">
        <is>
          <t>sga-2024-5</t>
        </is>
      </c>
      <c r="B691" s="7" t="n">
        <v>4</v>
      </c>
      <c r="C691" s="7" t="inlineStr">
        <is>
          <t>SGA</t>
        </is>
      </c>
      <c r="D691" s="7" t="inlineStr">
        <is>
          <t>2024</t>
        </is>
      </c>
      <c r="E691" s="7" t="n">
        <v>5</v>
      </c>
      <c r="F691" s="8" t="n">
        <v>46021</v>
      </c>
      <c r="G691" s="7" t="inlineStr">
        <is>
          <t>JOAN IMAYINNE GALVIS MORENO</t>
        </is>
      </c>
      <c r="H691" s="14" t="n">
        <v>2</v>
      </c>
      <c r="I691" s="15">
        <f>IF(H691="","",H691/2)</f>
        <v/>
      </c>
      <c r="J691" s="7">
        <f>IF(H691="",0,IF(SUMPRODUCT((Seguimientos!$A$2:$A$1013=A691)*(Seguimientos!$F$2:$F$1013=F691)*(Seguimientos!$B$2:$B$1013&gt;B691)*(Seguimientos!$H$2:$H$1013&lt;&gt;""))=0,1,0))</f>
        <v/>
      </c>
      <c r="K691" s="7">
        <f>A691&amp;"|"&amp;B691</f>
        <v/>
      </c>
      <c r="L691" s="13" t="inlineStr">
        <is>
          <t>Se envia informe de huella de carbono en la cual se detalla NVENTARIO CORPORATIVO DE EMISIONES DE GASES DE EFECTO INVERNADERO - 2024, en donde se evidencia 6 no conformidades de los cuales se evidencian los planes de mejoramiento cargados en plataforma.</t>
        </is>
      </c>
    </row>
    <row r="692">
      <c r="A692" s="7" t="inlineStr">
        <is>
          <t>sga-2024-5</t>
        </is>
      </c>
      <c r="B692" s="7" t="n">
        <v>5</v>
      </c>
      <c r="C692" s="7" t="inlineStr">
        <is>
          <t>SGA</t>
        </is>
      </c>
      <c r="D692" s="7" t="inlineStr">
        <is>
          <t>2024</t>
        </is>
      </c>
      <c r="E692" s="7" t="n">
        <v>5</v>
      </c>
      <c r="F692" s="8" t="n">
        <v>46203</v>
      </c>
      <c r="G692" s="7" t="inlineStr">
        <is>
          <t>JOAN IMAYINNE GALVIS MORENO</t>
        </is>
      </c>
      <c r="H692" s="14" t="n">
        <v>2</v>
      </c>
      <c r="I692" s="15">
        <f>IF(H692="","",H692/2)</f>
        <v/>
      </c>
      <c r="J692" s="7">
        <f>IF(H692="",0,IF(SUMPRODUCT((Seguimientos!$A$2:$A$1013=A692)*(Seguimientos!$F$2:$F$1013=F692)*(Seguimientos!$B$2:$B$1013&gt;B692)*(Seguimientos!$H$2:$H$1013&lt;&gt;""))=0,1,0))</f>
        <v/>
      </c>
      <c r="K692" s="7">
        <f>A692&amp;"|"&amp;B692</f>
        <v/>
      </c>
      <c r="L692" s="13" t="inlineStr">
        <is>
          <t>Actividad cumplida</t>
        </is>
      </c>
    </row>
    <row r="693">
      <c r="A693" s="7" t="inlineStr">
        <is>
          <t>sga-2024-5-sn1ip8sv</t>
        </is>
      </c>
      <c r="B693" s="7" t="n">
        <v>1</v>
      </c>
      <c r="C693" s="7" t="inlineStr">
        <is>
          <t>SGA</t>
        </is>
      </c>
      <c r="D693" s="7" t="inlineStr">
        <is>
          <t>2024</t>
        </is>
      </c>
      <c r="E693" s="7" t="n">
        <v>5</v>
      </c>
      <c r="F693" s="8" t="n">
        <v>45777</v>
      </c>
      <c r="G693" s="7" t="inlineStr">
        <is>
          <t>DANIEL EDUARDO SOTO BERNAL</t>
        </is>
      </c>
      <c r="H693" s="14" t="n">
        <v>0</v>
      </c>
      <c r="I693" s="15">
        <f>IF(H693="","",H693/2)</f>
        <v/>
      </c>
      <c r="J693" s="7">
        <f>IF(H693="",0,IF(SUMPRODUCT((Seguimientos!$A$2:$A$1013=A693)*(Seguimientos!$F$2:$F$1013=F693)*(Seguimientos!$B$2:$B$1013&gt;B693)*(Seguimientos!$H$2:$H$1013&lt;&gt;""))=0,1,0))</f>
        <v/>
      </c>
      <c r="K693" s="7">
        <f>A693&amp;"|"&amp;B693</f>
        <v/>
      </c>
      <c r="L693" s="13" t="inlineStr"/>
    </row>
    <row r="694">
      <c r="A694" s="7" t="inlineStr">
        <is>
          <t>sga-2024-5-sn1ip8sv</t>
        </is>
      </c>
      <c r="B694" s="7" t="n">
        <v>2</v>
      </c>
      <c r="C694" s="7" t="inlineStr">
        <is>
          <t>SGA</t>
        </is>
      </c>
      <c r="D694" s="7" t="inlineStr">
        <is>
          <t>2024</t>
        </is>
      </c>
      <c r="E694" s="7" t="n">
        <v>5</v>
      </c>
      <c r="F694" s="8" t="n">
        <v>45838</v>
      </c>
      <c r="G694" s="7" t="inlineStr">
        <is>
          <t>DANIEL EDUARDO SOTO BERNAL</t>
        </is>
      </c>
      <c r="H694" s="14" t="n">
        <v>1</v>
      </c>
      <c r="I694" s="15">
        <f>IF(H694="","",H694/2)</f>
        <v/>
      </c>
      <c r="J694" s="7">
        <f>IF(H694="",0,IF(SUMPRODUCT((Seguimientos!$A$2:$A$1013=A694)*(Seguimientos!$F$2:$F$1013=F694)*(Seguimientos!$B$2:$B$1013&gt;B694)*(Seguimientos!$H$2:$H$1013&lt;&gt;""))=0,1,0))</f>
        <v/>
      </c>
      <c r="K694" s="7">
        <f>A694&amp;"|"&amp;B694</f>
        <v/>
      </c>
      <c r="L694" s="13" t="inlineStr">
        <is>
          <t>El Sistema de Gestión Ambiental anexa solicitud del servicio de verificación de huella a ICONTEC. Anexo 12, presenta avance a esta actividad.</t>
        </is>
      </c>
    </row>
    <row r="695">
      <c r="A695" s="7" t="inlineStr">
        <is>
          <t>sga-2024-5-sn1ip8sv</t>
        </is>
      </c>
      <c r="B695" s="7" t="n">
        <v>3</v>
      </c>
      <c r="C695" s="7" t="inlineStr">
        <is>
          <t>SGA</t>
        </is>
      </c>
      <c r="D695" s="7" t="inlineStr">
        <is>
          <t>2024</t>
        </is>
      </c>
      <c r="E695" s="7" t="n">
        <v>5</v>
      </c>
      <c r="F695" s="8" t="n">
        <v>45930</v>
      </c>
      <c r="G695" s="7" t="inlineStr">
        <is>
          <t>JOAN IMAYINNE GALVIS MORENO</t>
        </is>
      </c>
      <c r="H695" s="14" t="n">
        <v>1</v>
      </c>
      <c r="I695" s="15">
        <f>IF(H695="","",H695/2)</f>
        <v/>
      </c>
      <c r="J695" s="7">
        <f>IF(H695="",0,IF(SUMPRODUCT((Seguimientos!$A$2:$A$1013=A695)*(Seguimientos!$F$2:$F$1013=F695)*(Seguimientos!$B$2:$B$1013&gt;B695)*(Seguimientos!$H$2:$H$1013&lt;&gt;""))=0,1,0))</f>
        <v/>
      </c>
      <c r="K695" s="7">
        <f>A695&amp;"|"&amp;B695</f>
        <v/>
      </c>
      <c r="L695" s="13" t="inlineStr">
        <is>
          <t>Se realiza la solicitud del servicio de verificación de huella a ICONTEC. Anexo 12, se espera la respuesta emitida por ICONTEC</t>
        </is>
      </c>
    </row>
    <row r="696">
      <c r="A696" s="7" t="inlineStr">
        <is>
          <t>sga-2024-5-sn1ip8sv</t>
        </is>
      </c>
      <c r="B696" s="7" t="n">
        <v>4</v>
      </c>
      <c r="C696" s="7" t="inlineStr">
        <is>
          <t>SGA</t>
        </is>
      </c>
      <c r="D696" s="7" t="inlineStr">
        <is>
          <t>2024</t>
        </is>
      </c>
      <c r="E696" s="7" t="n">
        <v>5</v>
      </c>
      <c r="F696" s="8" t="n">
        <v>46021</v>
      </c>
      <c r="G696" s="7" t="inlineStr">
        <is>
          <t>JOAN IMAYINNE GALVIS MORENO</t>
        </is>
      </c>
      <c r="H696" s="14" t="n">
        <v>2</v>
      </c>
      <c r="I696" s="15">
        <f>IF(H696="","",H696/2)</f>
        <v/>
      </c>
      <c r="J696" s="7">
        <f>IF(H696="",0,IF(SUMPRODUCT((Seguimientos!$A$2:$A$1013=A696)*(Seguimientos!$F$2:$F$1013=F696)*(Seguimientos!$B$2:$B$1013&gt;B696)*(Seguimientos!$H$2:$H$1013&lt;&gt;""))=0,1,0))</f>
        <v/>
      </c>
      <c r="K696" s="7">
        <f>A696&amp;"|"&amp;B696</f>
        <v/>
      </c>
      <c r="L696" s="13" t="inlineStr">
        <is>
          <t>Se envia informe de huella de carbono en la cual se detalla NVENTARIO CORPORATIVO DE EMISIONES DE GASES DE EFECTO INVERNADERO - 2024, en donde se evidencia 6 no conformidades de los cuales se evidencian los planes de mejoramiento cargados en plataforma.</t>
        </is>
      </c>
    </row>
    <row r="697">
      <c r="A697" s="7" t="inlineStr">
        <is>
          <t>sga-2024-5-sn1ip8sv</t>
        </is>
      </c>
      <c r="B697" s="7" t="n">
        <v>5</v>
      </c>
      <c r="C697" s="7" t="inlineStr">
        <is>
          <t>SGA</t>
        </is>
      </c>
      <c r="D697" s="7" t="inlineStr">
        <is>
          <t>2024</t>
        </is>
      </c>
      <c r="E697" s="7" t="n">
        <v>5</v>
      </c>
      <c r="F697" s="8" t="n">
        <v>46203</v>
      </c>
      <c r="G697" s="7" t="inlineStr">
        <is>
          <t>JOAN IMAYINNE GALVIS MORENO</t>
        </is>
      </c>
      <c r="H697" s="14" t="n">
        <v>2</v>
      </c>
      <c r="I697" s="15">
        <f>IF(H697="","",H697/2)</f>
        <v/>
      </c>
      <c r="J697" s="7">
        <f>IF(H697="",0,IF(SUMPRODUCT((Seguimientos!$A$2:$A$1013=A697)*(Seguimientos!$F$2:$F$1013=F697)*(Seguimientos!$B$2:$B$1013&gt;B697)*(Seguimientos!$H$2:$H$1013&lt;&gt;""))=0,1,0))</f>
        <v/>
      </c>
      <c r="K697" s="7">
        <f>A697&amp;"|"&amp;B697</f>
        <v/>
      </c>
      <c r="L697" s="13" t="inlineStr">
        <is>
          <t>Actividad cumplida</t>
        </is>
      </c>
    </row>
    <row r="698">
      <c r="A698" s="7" t="inlineStr">
        <is>
          <t>sga-2024-5-sn164bwd</t>
        </is>
      </c>
      <c r="B698" s="7" t="n">
        <v>1</v>
      </c>
      <c r="C698" s="7" t="inlineStr">
        <is>
          <t>SGA</t>
        </is>
      </c>
      <c r="D698" s="7" t="inlineStr">
        <is>
          <t>2024</t>
        </is>
      </c>
      <c r="E698" s="7" t="n">
        <v>5</v>
      </c>
      <c r="F698" s="8" t="n">
        <v>45777</v>
      </c>
      <c r="G698" s="7" t="inlineStr">
        <is>
          <t>DANIEL EDUARDO SOTO BERNAL</t>
        </is>
      </c>
      <c r="H698" s="14" t="n">
        <v>0</v>
      </c>
      <c r="I698" s="15">
        <f>IF(H698="","",H698/2)</f>
        <v/>
      </c>
      <c r="J698" s="7">
        <f>IF(H698="",0,IF(SUMPRODUCT((Seguimientos!$A$2:$A$1013=A698)*(Seguimientos!$F$2:$F$1013=F698)*(Seguimientos!$B$2:$B$1013&gt;B698)*(Seguimientos!$H$2:$H$1013&lt;&gt;""))=0,1,0))</f>
        <v/>
      </c>
      <c r="K698" s="7">
        <f>A698&amp;"|"&amp;B698</f>
        <v/>
      </c>
      <c r="L698" s="13" t="inlineStr"/>
    </row>
    <row r="699">
      <c r="A699" s="7" t="inlineStr">
        <is>
          <t>sga-2024-5-sn164bwd</t>
        </is>
      </c>
      <c r="B699" s="7" t="n">
        <v>2</v>
      </c>
      <c r="C699" s="7" t="inlineStr">
        <is>
          <t>SGA</t>
        </is>
      </c>
      <c r="D699" s="7" t="inlineStr">
        <is>
          <t>2024</t>
        </is>
      </c>
      <c r="E699" s="7" t="n">
        <v>5</v>
      </c>
      <c r="F699" s="8" t="n">
        <v>45838</v>
      </c>
      <c r="G699" s="7" t="inlineStr">
        <is>
          <t>DANIEL EDUARDO SOTO BERNAL</t>
        </is>
      </c>
      <c r="H699" s="14" t="n">
        <v>0</v>
      </c>
      <c r="I699" s="15">
        <f>IF(H699="","",H699/2)</f>
        <v/>
      </c>
      <c r="J699" s="7">
        <f>IF(H699="",0,IF(SUMPRODUCT((Seguimientos!$A$2:$A$1013=A699)*(Seguimientos!$F$2:$F$1013=F699)*(Seguimientos!$B$2:$B$1013&gt;B699)*(Seguimientos!$H$2:$H$1013&lt;&gt;""))=0,1,0))</f>
        <v/>
      </c>
      <c r="K699" s="7">
        <f>A699&amp;"|"&amp;B699</f>
        <v/>
      </c>
      <c r="L699" s="13" t="inlineStr"/>
    </row>
    <row r="700">
      <c r="A700" s="7" t="inlineStr">
        <is>
          <t>sga-2024-5-sn164bwd</t>
        </is>
      </c>
      <c r="B700" s="7" t="n">
        <v>3</v>
      </c>
      <c r="C700" s="7" t="inlineStr">
        <is>
          <t>SGA</t>
        </is>
      </c>
      <c r="D700" s="7" t="inlineStr">
        <is>
          <t>2024</t>
        </is>
      </c>
      <c r="E700" s="7" t="n">
        <v>5</v>
      </c>
      <c r="F700" s="8" t="n">
        <v>45930</v>
      </c>
      <c r="G700" s="7" t="inlineStr">
        <is>
          <t>JOAN IMAYINNE GALVIS MORENO</t>
        </is>
      </c>
      <c r="H700" s="14" t="n">
        <v>1</v>
      </c>
      <c r="I700" s="15">
        <f>IF(H700="","",H700/2)</f>
        <v/>
      </c>
      <c r="J700" s="7">
        <f>IF(H700="",0,IF(SUMPRODUCT((Seguimientos!$A$2:$A$1013=A700)*(Seguimientos!$F$2:$F$1013=F700)*(Seguimientos!$B$2:$B$1013&gt;B700)*(Seguimientos!$H$2:$H$1013&lt;&gt;""))=0,1,0))</f>
        <v/>
      </c>
      <c r="K700" s="7">
        <f>A700&amp;"|"&amp;B700</f>
        <v/>
      </c>
      <c r="L700" s="13" t="inlineStr">
        <is>
          <t>En proceso de contratación. Concepto tecnico ICONTEC. Anexo 19, se encuentran en proceso de ABS</t>
        </is>
      </c>
    </row>
    <row r="701">
      <c r="A701" s="7" t="inlineStr">
        <is>
          <t>sga-2024-5-sn164bwd</t>
        </is>
      </c>
      <c r="B701" s="7" t="n">
        <v>4</v>
      </c>
      <c r="C701" s="7" t="inlineStr">
        <is>
          <t>SGA</t>
        </is>
      </c>
      <c r="D701" s="7" t="inlineStr">
        <is>
          <t>2024</t>
        </is>
      </c>
      <c r="E701" s="7" t="n">
        <v>5</v>
      </c>
      <c r="F701" s="8" t="n">
        <v>46021</v>
      </c>
      <c r="G701" s="7" t="inlineStr">
        <is>
          <t>JOAN IMAYINNE GALVIS MORENO</t>
        </is>
      </c>
      <c r="H701" s="14" t="n">
        <v>2</v>
      </c>
      <c r="I701" s="15">
        <f>IF(H701="","",H701/2)</f>
        <v/>
      </c>
      <c r="J701" s="7">
        <f>IF(H701="",0,IF(SUMPRODUCT((Seguimientos!$A$2:$A$1013=A701)*(Seguimientos!$F$2:$F$1013=F701)*(Seguimientos!$B$2:$B$1013&gt;B701)*(Seguimientos!$H$2:$H$1013&lt;&gt;""))=0,1,0))</f>
        <v/>
      </c>
      <c r="K701" s="7">
        <f>A701&amp;"|"&amp;B701</f>
        <v/>
      </c>
      <c r="L701" s="13" t="inlineStr">
        <is>
          <t>Se envia informe de huella de carbono en la cual se detalla NVENTARIO CORPORATIVO DE EMISIONES DE GASES DE EFECTO INVERNADERO - 2024, en donde se evidencia 6 no conformidades de los cuales se evidencian los planes de mejoramiento cargados en plataforma.</t>
        </is>
      </c>
    </row>
    <row r="702">
      <c r="A702" s="7" t="inlineStr">
        <is>
          <t>sga-2024-5-sn164bwd</t>
        </is>
      </c>
      <c r="B702" s="7" t="n">
        <v>5</v>
      </c>
      <c r="C702" s="7" t="inlineStr">
        <is>
          <t>SGA</t>
        </is>
      </c>
      <c r="D702" s="7" t="inlineStr">
        <is>
          <t>2024</t>
        </is>
      </c>
      <c r="E702" s="7" t="n">
        <v>5</v>
      </c>
      <c r="F702" s="8" t="n">
        <v>46203</v>
      </c>
      <c r="G702" s="7" t="inlineStr">
        <is>
          <t>JOAN IMAYINNE GALVIS MORENO</t>
        </is>
      </c>
      <c r="H702" s="14" t="n">
        <v>2</v>
      </c>
      <c r="I702" s="15">
        <f>IF(H702="","",H702/2)</f>
        <v/>
      </c>
      <c r="J702" s="7">
        <f>IF(H702="",0,IF(SUMPRODUCT((Seguimientos!$A$2:$A$1013=A702)*(Seguimientos!$F$2:$F$1013=F702)*(Seguimientos!$B$2:$B$1013&gt;B702)*(Seguimientos!$H$2:$H$1013&lt;&gt;""))=0,1,0))</f>
        <v/>
      </c>
      <c r="K702" s="7">
        <f>A702&amp;"|"&amp;B702</f>
        <v/>
      </c>
      <c r="L702" s="13" t="inlineStr">
        <is>
          <t>Actividad cumplida</t>
        </is>
      </c>
    </row>
    <row r="703">
      <c r="A703" s="7" t="inlineStr">
        <is>
          <t>sga-2024-6</t>
        </is>
      </c>
      <c r="B703" s="7" t="n">
        <v>1</v>
      </c>
      <c r="C703" s="7" t="inlineStr">
        <is>
          <t>SGA</t>
        </is>
      </c>
      <c r="D703" s="7" t="inlineStr">
        <is>
          <t>2024</t>
        </is>
      </c>
      <c r="E703" s="7" t="n">
        <v>6</v>
      </c>
      <c r="F703" s="8" t="n">
        <v>45777</v>
      </c>
      <c r="G703" s="7" t="inlineStr">
        <is>
          <t>DANIEL EDUARDO SOTO BERNAL</t>
        </is>
      </c>
      <c r="H703" s="14" t="n">
        <v>1</v>
      </c>
      <c r="I703" s="15">
        <f>IF(H703="","",H703/2)</f>
        <v/>
      </c>
      <c r="J703" s="7">
        <f>IF(H703="",0,IF(SUMPRODUCT((Seguimientos!$A$2:$A$1013=A703)*(Seguimientos!$F$2:$F$1013=F703)*(Seguimientos!$B$2:$B$1013&gt;B703)*(Seguimientos!$H$2:$H$1013&lt;&gt;""))=0,1,0))</f>
        <v/>
      </c>
      <c r="K703" s="7">
        <f>A703&amp;"|"&amp;B703</f>
        <v/>
      </c>
      <c r="L703" s="13" t="inlineStr">
        <is>
          <t>Se realiza en la extension Facatativa y su granja el levantamiento de los inventarios asociados a los equipos de ahorro y uso eficiente de agua y de energía. Se adjuntan inventarios. Anexo 1</t>
        </is>
      </c>
    </row>
    <row r="704">
      <c r="A704" s="7" t="inlineStr">
        <is>
          <t>sga-2024-6</t>
        </is>
      </c>
      <c r="B704" s="7" t="n">
        <v>2</v>
      </c>
      <c r="C704" s="7" t="inlineStr">
        <is>
          <t>SGA</t>
        </is>
      </c>
      <c r="D704" s="7" t="inlineStr">
        <is>
          <t>2024</t>
        </is>
      </c>
      <c r="E704" s="7" t="n">
        <v>6</v>
      </c>
      <c r="F704" s="8" t="n">
        <v>45838</v>
      </c>
      <c r="G704" s="7" t="inlineStr">
        <is>
          <t>DANIEL EDUARDO SOTO BERNAL</t>
        </is>
      </c>
      <c r="H704" s="14" t="n">
        <v>1</v>
      </c>
      <c r="I704" s="15">
        <f>IF(H704="","",H704/2)</f>
        <v/>
      </c>
      <c r="J704" s="7">
        <f>IF(H704="",0,IF(SUMPRODUCT((Seguimientos!$A$2:$A$1013=A704)*(Seguimientos!$F$2:$F$1013=F704)*(Seguimientos!$B$2:$B$1013&gt;B704)*(Seguimientos!$H$2:$H$1013&lt;&gt;""))=0,1,0))</f>
        <v/>
      </c>
      <c r="K704" s="7">
        <f>A704&amp;"|"&amp;B704</f>
        <v/>
      </c>
      <c r="L704" s="13" t="inlineStr">
        <is>
          <t>Se realiza en la extension Facatativa y su granja el levantamiento de los inventarios asociados a los equipos de ahorro y uso eficiente de agua y de energía. Se adjuntan inventarios. Anexo 1</t>
        </is>
      </c>
    </row>
    <row r="705">
      <c r="A705" s="7" t="inlineStr">
        <is>
          <t>sga-2024-6</t>
        </is>
      </c>
      <c r="B705" s="7" t="n">
        <v>3</v>
      </c>
      <c r="C705" s="7" t="inlineStr">
        <is>
          <t>SGA</t>
        </is>
      </c>
      <c r="D705" s="7" t="inlineStr">
        <is>
          <t>2024</t>
        </is>
      </c>
      <c r="E705" s="7" t="n">
        <v>6</v>
      </c>
      <c r="F705" s="8" t="n">
        <v>45930</v>
      </c>
      <c r="G705" s="7" t="inlineStr">
        <is>
          <t>JOAN IMAYINNE GALVIS MORENO</t>
        </is>
      </c>
      <c r="H705" s="14" t="n">
        <v>1</v>
      </c>
      <c r="I705" s="15">
        <f>IF(H705="","",H705/2)</f>
        <v/>
      </c>
      <c r="J705" s="7">
        <f>IF(H705="",0,IF(SUMPRODUCT((Seguimientos!$A$2:$A$1013=A705)*(Seguimientos!$F$2:$F$1013=F705)*(Seguimientos!$B$2:$B$1013&gt;B705)*(Seguimientos!$H$2:$H$1013&lt;&gt;""))=0,1,0))</f>
        <v/>
      </c>
      <c r="K705" s="7">
        <f>A705&amp;"|"&amp;B705</f>
        <v/>
      </c>
      <c r="L705" s="13" t="inlineStr">
        <is>
          <t>Se realiza en la extension Facatativa y su granja el levantamiento de los inventarios asociados a los equipos de ahorro y uso eficiente de agua y de energía. Se adjuntan inventarios, pero el entregable es la evaluacion de los equipos</t>
        </is>
      </c>
    </row>
    <row r="706">
      <c r="A706" s="7" t="inlineStr">
        <is>
          <t>sga-2024-6</t>
        </is>
      </c>
      <c r="B706" s="7" t="n">
        <v>4</v>
      </c>
      <c r="C706" s="7" t="inlineStr">
        <is>
          <t>SGA</t>
        </is>
      </c>
      <c r="D706" s="7" t="inlineStr">
        <is>
          <t>2024</t>
        </is>
      </c>
      <c r="E706" s="7" t="n">
        <v>6</v>
      </c>
      <c r="F706" s="8" t="n">
        <v>46021</v>
      </c>
      <c r="G706" s="7" t="inlineStr">
        <is>
          <t>JOAN IMAYINNE GALVIS MORENO</t>
        </is>
      </c>
      <c r="H706" s="14" t="n">
        <v>2</v>
      </c>
      <c r="I706" s="15">
        <f>IF(H706="","",H706/2)</f>
        <v/>
      </c>
      <c r="J706" s="7">
        <f>IF(H706="",0,IF(SUMPRODUCT((Seguimientos!$A$2:$A$1013=A706)*(Seguimientos!$F$2:$F$1013=F706)*(Seguimientos!$B$2:$B$1013&gt;B706)*(Seguimientos!$H$2:$H$1013&lt;&gt;""))=0,1,0))</f>
        <v/>
      </c>
      <c r="K706" s="7">
        <f>A706&amp;"|"&amp;B706</f>
        <v/>
      </c>
      <c r="L706" s="13" t="inlineStr">
        <is>
          <t>Se identifica POWER BI en donde se imparte el consumo de energia, agua losaprovechables y no desde la vigencia 2022 identificando variables tanto positivas como negativas detallando que se manejan seguimientos y auditorias</t>
        </is>
      </c>
    </row>
    <row r="707">
      <c r="A707" s="7" t="inlineStr">
        <is>
          <t>sga-2024-6</t>
        </is>
      </c>
      <c r="B707" s="7" t="n">
        <v>5</v>
      </c>
      <c r="C707" s="7" t="inlineStr">
        <is>
          <t>SGA</t>
        </is>
      </c>
      <c r="D707" s="7" t="inlineStr">
        <is>
          <t>2024</t>
        </is>
      </c>
      <c r="E707" s="7" t="n">
        <v>6</v>
      </c>
      <c r="F707" s="8" t="n">
        <v>46203</v>
      </c>
      <c r="G707" s="7" t="inlineStr">
        <is>
          <t>JOAN IMAYINNE GALVIS MORENO</t>
        </is>
      </c>
      <c r="H707" s="14" t="n">
        <v>2</v>
      </c>
      <c r="I707" s="15">
        <f>IF(H707="","",H707/2)</f>
        <v/>
      </c>
      <c r="J707" s="7">
        <f>IF(H707="",0,IF(SUMPRODUCT((Seguimientos!$A$2:$A$1013=A707)*(Seguimientos!$F$2:$F$1013=F707)*(Seguimientos!$B$2:$B$1013&gt;B707)*(Seguimientos!$H$2:$H$1013&lt;&gt;""))=0,1,0))</f>
        <v/>
      </c>
      <c r="K707" s="7">
        <f>A707&amp;"|"&amp;B707</f>
        <v/>
      </c>
      <c r="L707" s="13" t="inlineStr">
        <is>
          <t>Actividad cumplida</t>
        </is>
      </c>
    </row>
    <row r="708">
      <c r="A708" s="7" t="inlineStr">
        <is>
          <t>sga-2024-6-snvuu6j0</t>
        </is>
      </c>
      <c r="B708" s="7" t="n">
        <v>1</v>
      </c>
      <c r="C708" s="7" t="inlineStr">
        <is>
          <t>SGA</t>
        </is>
      </c>
      <c r="D708" s="7" t="inlineStr">
        <is>
          <t>2024</t>
        </is>
      </c>
      <c r="E708" s="7" t="n">
        <v>6</v>
      </c>
      <c r="F708" s="8" t="n">
        <v>45777</v>
      </c>
      <c r="G708" s="7" t="inlineStr">
        <is>
          <t>DANIEL EDUARDO SOTO BERNAL</t>
        </is>
      </c>
      <c r="H708" s="14" t="n">
        <v>0</v>
      </c>
      <c r="I708" s="15">
        <f>IF(H708="","",H708/2)</f>
        <v/>
      </c>
      <c r="J708" s="7">
        <f>IF(H708="",0,IF(SUMPRODUCT((Seguimientos!$A$2:$A$1013=A708)*(Seguimientos!$F$2:$F$1013=F708)*(Seguimientos!$B$2:$B$1013&gt;B708)*(Seguimientos!$H$2:$H$1013&lt;&gt;""))=0,1,0))</f>
        <v/>
      </c>
      <c r="K708" s="7">
        <f>A708&amp;"|"&amp;B708</f>
        <v/>
      </c>
      <c r="L708" s="13" t="inlineStr"/>
    </row>
    <row r="709">
      <c r="A709" s="7" t="inlineStr">
        <is>
          <t>sga-2024-6-snvuu6j0</t>
        </is>
      </c>
      <c r="B709" s="7" t="n">
        <v>2</v>
      </c>
      <c r="C709" s="7" t="inlineStr">
        <is>
          <t>SGA</t>
        </is>
      </c>
      <c r="D709" s="7" t="inlineStr">
        <is>
          <t>2024</t>
        </is>
      </c>
      <c r="E709" s="7" t="n">
        <v>6</v>
      </c>
      <c r="F709" s="8" t="n">
        <v>45838</v>
      </c>
      <c r="G709" s="7" t="inlineStr">
        <is>
          <t>DANIEL EDUARDO SOTO BERNAL</t>
        </is>
      </c>
      <c r="H709" s="14" t="n">
        <v>0</v>
      </c>
      <c r="I709" s="15">
        <f>IF(H709="","",H709/2)</f>
        <v/>
      </c>
      <c r="J709" s="7">
        <f>IF(H709="",0,IF(SUMPRODUCT((Seguimientos!$A$2:$A$1013=A709)*(Seguimientos!$F$2:$F$1013=F709)*(Seguimientos!$B$2:$B$1013&gt;B709)*(Seguimientos!$H$2:$H$1013&lt;&gt;""))=0,1,0))</f>
        <v/>
      </c>
      <c r="K709" s="7">
        <f>A709&amp;"|"&amp;B709</f>
        <v/>
      </c>
      <c r="L709" s="13" t="inlineStr"/>
    </row>
    <row r="710">
      <c r="A710" s="7" t="inlineStr">
        <is>
          <t>sga-2024-6-snvuu6j0</t>
        </is>
      </c>
      <c r="B710" s="7" t="n">
        <v>3</v>
      </c>
      <c r="C710" s="7" t="inlineStr">
        <is>
          <t>SGA</t>
        </is>
      </c>
      <c r="D710" s="7" t="inlineStr">
        <is>
          <t>2024</t>
        </is>
      </c>
      <c r="E710" s="7" t="n">
        <v>6</v>
      </c>
      <c r="F710" s="8" t="n">
        <v>45930</v>
      </c>
      <c r="G710" s="7" t="inlineStr">
        <is>
          <t>JOAN IMAYINNE GALVIS MORENO</t>
        </is>
      </c>
      <c r="H710" s="14" t="n">
        <v>1</v>
      </c>
      <c r="I710" s="15">
        <f>IF(H710="","",H710/2)</f>
        <v/>
      </c>
      <c r="J710" s="7">
        <f>IF(H710="",0,IF(SUMPRODUCT((Seguimientos!$A$2:$A$1013=A710)*(Seguimientos!$F$2:$F$1013=F710)*(Seguimientos!$B$2:$B$1013&gt;B710)*(Seguimientos!$H$2:$H$1013&lt;&gt;""))=0,1,0))</f>
        <v/>
      </c>
      <c r="K710" s="7">
        <f>A710&amp;"|"&amp;B710</f>
        <v/>
      </c>
      <c r="L710" s="13" t="inlineStr">
        <is>
          <t>Se realiza el levantanmiento de la informacion relaiconada con infraestructura verde en cada una de las unidades regionales Anexo 20. Falta las nuevas herramientas de medicion</t>
        </is>
      </c>
    </row>
    <row r="711">
      <c r="A711" s="7" t="inlineStr">
        <is>
          <t>sga-2024-6-snvuu6j0</t>
        </is>
      </c>
      <c r="B711" s="7" t="n">
        <v>4</v>
      </c>
      <c r="C711" s="7" t="inlineStr">
        <is>
          <t>SGA</t>
        </is>
      </c>
      <c r="D711" s="7" t="inlineStr">
        <is>
          <t>2024</t>
        </is>
      </c>
      <c r="E711" s="7" t="n">
        <v>6</v>
      </c>
      <c r="F711" s="8" t="n">
        <v>46021</v>
      </c>
      <c r="G711" s="7" t="inlineStr">
        <is>
          <t>JOAN IMAYINNE GALVIS MORENO</t>
        </is>
      </c>
      <c r="H711" s="14" t="n">
        <v>2</v>
      </c>
      <c r="I711" s="15">
        <f>IF(H711="","",H711/2)</f>
        <v/>
      </c>
      <c r="J711" s="7">
        <f>IF(H711="",0,IF(SUMPRODUCT((Seguimientos!$A$2:$A$1013=A711)*(Seguimientos!$F$2:$F$1013=F711)*(Seguimientos!$B$2:$B$1013&gt;B711)*(Seguimientos!$H$2:$H$1013&lt;&gt;""))=0,1,0))</f>
        <v/>
      </c>
      <c r="K711" s="7">
        <f>A711&amp;"|"&amp;B711</f>
        <v/>
      </c>
      <c r="L711" s="13" t="inlineStr">
        <is>
          <t>Se evidencia que la Universidad cuenta con una infraestructura verde consolidada en sus sedes, seccionales y extensiones; sin embargo, se identifica una oportunidad de mejora relacionada con la implementación de herramientas de monitoreo ambiental inteligente, dado que gran parte de la información se gestiona de manera descriptiva y estimativa. La incorporación de tecnologías como IoT, SIG y sistemas de monitoreo automatizado permitiría fortalecer la gestión ambiental institucional, mejorar la calidad de los reportes, optimizar la toma de decisiones y respaldar la planificación basada en datos.</t>
        </is>
      </c>
    </row>
    <row r="712">
      <c r="A712" s="7" t="inlineStr">
        <is>
          <t>sga-2024-6-snvuu6j0</t>
        </is>
      </c>
      <c r="B712" s="7" t="n">
        <v>5</v>
      </c>
      <c r="C712" s="7" t="inlineStr">
        <is>
          <t>SGA</t>
        </is>
      </c>
      <c r="D712" s="7" t="inlineStr">
        <is>
          <t>2024</t>
        </is>
      </c>
      <c r="E712" s="7" t="n">
        <v>6</v>
      </c>
      <c r="F712" s="8" t="n">
        <v>46203</v>
      </c>
      <c r="G712" s="7" t="inlineStr">
        <is>
          <t>JOAN IMAYINNE GALVIS MORENO</t>
        </is>
      </c>
      <c r="H712" s="14" t="n">
        <v>2</v>
      </c>
      <c r="I712" s="15">
        <f>IF(H712="","",H712/2)</f>
        <v/>
      </c>
      <c r="J712" s="7">
        <f>IF(H712="",0,IF(SUMPRODUCT((Seguimientos!$A$2:$A$1013=A712)*(Seguimientos!$F$2:$F$1013=F712)*(Seguimientos!$B$2:$B$1013&gt;B712)*(Seguimientos!$H$2:$H$1013&lt;&gt;""))=0,1,0))</f>
        <v/>
      </c>
      <c r="K712" s="7">
        <f>A712&amp;"|"&amp;B712</f>
        <v/>
      </c>
      <c r="L712" s="13" t="inlineStr">
        <is>
          <t>Actividad cumplida</t>
        </is>
      </c>
    </row>
    <row r="713">
      <c r="A713" s="7" t="inlineStr">
        <is>
          <t>sga-2024-7</t>
        </is>
      </c>
      <c r="B713" s="7" t="n">
        <v>1</v>
      </c>
      <c r="C713" s="7" t="inlineStr">
        <is>
          <t>SGA</t>
        </is>
      </c>
      <c r="D713" s="7" t="inlineStr">
        <is>
          <t>2024</t>
        </is>
      </c>
      <c r="E713" s="7" t="n">
        <v>7</v>
      </c>
      <c r="F713" s="8" t="n">
        <v>45777</v>
      </c>
      <c r="G713" s="7" t="inlineStr">
        <is>
          <t>DANIEL EDUARDO SOTO BERNAL</t>
        </is>
      </c>
      <c r="H713" s="14" t="n">
        <v>1</v>
      </c>
      <c r="I713" s="15">
        <f>IF(H713="","",H713/2)</f>
        <v/>
      </c>
      <c r="J713" s="7">
        <f>IF(H713="",0,IF(SUMPRODUCT((Seguimientos!$A$2:$A$1013=A713)*(Seguimientos!$F$2:$F$1013=F713)*(Seguimientos!$B$2:$B$1013&gt;B713)*(Seguimientos!$H$2:$H$1013&lt;&gt;""))=0,1,0))</f>
        <v/>
      </c>
      <c r="K713" s="7">
        <f>A713&amp;"|"&amp;B713</f>
        <v/>
      </c>
      <c r="L713" s="13" t="inlineStr">
        <is>
          <t>Se realiza la revisión del CAC anidado en el modulo de la plataforma de bienestar institucional. Se tiene reunión con Aula Virtual para formular el diseño del curso de bienvenida a estudiantes sobre el SGA. Se Adjunta correo electrónico con credenciales temporales de acceso y se inicia con la producción del Storyboard para realizar la solicitud de diseño. Anexo 2.</t>
        </is>
      </c>
    </row>
    <row r="714">
      <c r="A714" s="7" t="inlineStr">
        <is>
          <t>sga-2024-7</t>
        </is>
      </c>
      <c r="B714" s="7" t="n">
        <v>2</v>
      </c>
      <c r="C714" s="7" t="inlineStr">
        <is>
          <t>SGA</t>
        </is>
      </c>
      <c r="D714" s="7" t="inlineStr">
        <is>
          <t>2024</t>
        </is>
      </c>
      <c r="E714" s="7" t="n">
        <v>7</v>
      </c>
      <c r="F714" s="8" t="n">
        <v>45838</v>
      </c>
      <c r="G714" s="7" t="inlineStr">
        <is>
          <t>DANIEL EDUARDO SOTO BERNAL</t>
        </is>
      </c>
      <c r="H714" s="14" t="n">
        <v>1</v>
      </c>
      <c r="I714" s="15">
        <f>IF(H714="","",H714/2)</f>
        <v/>
      </c>
      <c r="J714" s="7">
        <f>IF(H714="",0,IF(SUMPRODUCT((Seguimientos!$A$2:$A$1013=A714)*(Seguimientos!$F$2:$F$1013=F714)*(Seguimientos!$B$2:$B$1013&gt;B714)*(Seguimientos!$H$2:$H$1013&lt;&gt;""))=0,1,0))</f>
        <v/>
      </c>
      <c r="K714" s="7">
        <f>A714&amp;"|"&amp;B714</f>
        <v/>
      </c>
      <c r="L714" s="13" t="inlineStr">
        <is>
          <t>Se realiza la revisión del CAC anidado en el modulo de la plataforma de bienestar institucional. Se tiene reunión con Aula Virtual para formular el diseño del curso de bienvenida a estudiantes sobre el SGA. Se Adjunta correo electrónico con credenciales temporales de acceso y se inicia con la producción del Storyboard para realizar la solicitud de diseño. Anexo 2.</t>
        </is>
      </c>
    </row>
    <row r="715">
      <c r="A715" s="7" t="inlineStr">
        <is>
          <t>sga-2024-7</t>
        </is>
      </c>
      <c r="B715" s="7" t="n">
        <v>3</v>
      </c>
      <c r="C715" s="7" t="inlineStr">
        <is>
          <t>SGA</t>
        </is>
      </c>
      <c r="D715" s="7" t="inlineStr">
        <is>
          <t>2024</t>
        </is>
      </c>
      <c r="E715" s="7" t="n">
        <v>7</v>
      </c>
      <c r="F715" s="8" t="n">
        <v>45930</v>
      </c>
      <c r="G715" s="7" t="inlineStr">
        <is>
          <t>JOAN IMAYINNE GALVIS MORENO</t>
        </is>
      </c>
      <c r="H715" s="14" t="n">
        <v>1</v>
      </c>
      <c r="I715" s="15">
        <f>IF(H715="","",H715/2)</f>
        <v/>
      </c>
      <c r="J715" s="7">
        <f>IF(H715="",0,IF(SUMPRODUCT((Seguimientos!$A$2:$A$1013=A715)*(Seguimientos!$F$2:$F$1013=F715)*(Seguimientos!$B$2:$B$1013&gt;B715)*(Seguimientos!$H$2:$H$1013&lt;&gt;""))=0,1,0))</f>
        <v/>
      </c>
      <c r="K715" s="7">
        <f>A715&amp;"|"&amp;B715</f>
        <v/>
      </c>
      <c r="L715" s="13" t="inlineStr">
        <is>
          <t>Se realiza la revisión del CAC anidado en el modulo de la plataforma de bienestar institucional. Se tiene reunión con Aula Virtual para formular el diseño del curso de bienvenida a estudiantes sobre el SGA. Se Adjunta correo electrónico con credenciales temporales de acceso y se inicia con la producción del Storyboard para realizar la solicitud de diseño. Se solicita remetir el diseño ya conceptualizado</t>
        </is>
      </c>
    </row>
    <row r="716">
      <c r="A716" s="7" t="inlineStr">
        <is>
          <t>sga-2024-7</t>
        </is>
      </c>
      <c r="B716" s="7" t="n">
        <v>4</v>
      </c>
      <c r="C716" s="7" t="inlineStr">
        <is>
          <t>SGA</t>
        </is>
      </c>
      <c r="D716" s="7" t="inlineStr">
        <is>
          <t>2024</t>
        </is>
      </c>
      <c r="E716" s="7" t="n">
        <v>7</v>
      </c>
      <c r="F716" s="8" t="n">
        <v>46021</v>
      </c>
      <c r="G716" s="7" t="inlineStr">
        <is>
          <t>JOAN IMAYINNE GALVIS MORENO</t>
        </is>
      </c>
      <c r="H716" s="14" t="n">
        <v>1</v>
      </c>
      <c r="I716" s="15">
        <f>IF(H716="","",H716/2)</f>
        <v/>
      </c>
      <c r="J716" s="7">
        <f>IF(H716="",0,IF(SUMPRODUCT((Seguimientos!$A$2:$A$1013=A716)*(Seguimientos!$F$2:$F$1013=F716)*(Seguimientos!$B$2:$B$1013&gt;B716)*(Seguimientos!$H$2:$H$1013&lt;&gt;""))=0,1,0))</f>
        <v/>
      </c>
      <c r="K716" s="7">
        <f>A716&amp;"|"&amp;B716</f>
        <v/>
      </c>
      <c r="L716" s="13" t="inlineStr">
        <is>
          <t>Se evidencia correo electonico remitido a Bienestar Universitario esperando respuesta.</t>
        </is>
      </c>
    </row>
    <row r="717">
      <c r="A717" s="7" t="inlineStr">
        <is>
          <t>sga-2024-7</t>
        </is>
      </c>
      <c r="B717" s="7" t="n">
        <v>5</v>
      </c>
      <c r="C717" s="7" t="inlineStr">
        <is>
          <t>SGA</t>
        </is>
      </c>
      <c r="D717" s="7" t="inlineStr">
        <is>
          <t>2024</t>
        </is>
      </c>
      <c r="E717" s="7" t="n">
        <v>7</v>
      </c>
      <c r="F717" s="8" t="n">
        <v>46203</v>
      </c>
      <c r="G717" s="7" t="inlineStr">
        <is>
          <t>JOAN IMAYINNE GALVIS MORENO</t>
        </is>
      </c>
      <c r="H717" s="14" t="n">
        <v>1</v>
      </c>
      <c r="I717" s="15">
        <f>IF(H717="","",H717/2)</f>
        <v/>
      </c>
      <c r="J717" s="7">
        <f>IF(H717="",0,IF(SUMPRODUCT((Seguimientos!$A$2:$A$1013=A717)*(Seguimientos!$F$2:$F$1013=F717)*(Seguimientos!$B$2:$B$1013&gt;B717)*(Seguimientos!$H$2:$H$1013&lt;&gt;""))=0,1,0))</f>
        <v/>
      </c>
      <c r="K717" s="7">
        <f>A717&amp;"|"&amp;B717</f>
        <v/>
      </c>
      <c r="L717" s="13" t="inlineStr">
        <is>
          <t>Se evidencia correo electonico remitido a Bienestar Universitario esperando respuesta.</t>
        </is>
      </c>
    </row>
    <row r="718">
      <c r="A718" s="7" t="inlineStr">
        <is>
          <t>sga-2024-7-sna17bss</t>
        </is>
      </c>
      <c r="B718" s="7" t="n">
        <v>1</v>
      </c>
      <c r="C718" s="7" t="inlineStr">
        <is>
          <t>SGA</t>
        </is>
      </c>
      <c r="D718" s="7" t="inlineStr">
        <is>
          <t>2024</t>
        </is>
      </c>
      <c r="E718" s="7" t="n">
        <v>7</v>
      </c>
      <c r="F718" s="8" t="n">
        <v>45777</v>
      </c>
      <c r="G718" s="7" t="inlineStr">
        <is>
          <t>DANIEL EDUARDO SOTO BERNAL</t>
        </is>
      </c>
      <c r="H718" s="14" t="n">
        <v>0</v>
      </c>
      <c r="I718" s="15">
        <f>IF(H718="","",H718/2)</f>
        <v/>
      </c>
      <c r="J718" s="7">
        <f>IF(H718="",0,IF(SUMPRODUCT((Seguimientos!$A$2:$A$1013=A718)*(Seguimientos!$F$2:$F$1013=F718)*(Seguimientos!$B$2:$B$1013&gt;B718)*(Seguimientos!$H$2:$H$1013&lt;&gt;""))=0,1,0))</f>
        <v/>
      </c>
      <c r="K718" s="7">
        <f>A718&amp;"|"&amp;B718</f>
        <v/>
      </c>
      <c r="L718" s="13" t="inlineStr"/>
    </row>
    <row r="719">
      <c r="A719" s="7" t="inlineStr">
        <is>
          <t>sga-2024-7-sna17bss</t>
        </is>
      </c>
      <c r="B719" s="7" t="n">
        <v>2</v>
      </c>
      <c r="C719" s="7" t="inlineStr">
        <is>
          <t>SGA</t>
        </is>
      </c>
      <c r="D719" s="7" t="inlineStr">
        <is>
          <t>2024</t>
        </is>
      </c>
      <c r="E719" s="7" t="n">
        <v>7</v>
      </c>
      <c r="F719" s="8" t="n">
        <v>45838</v>
      </c>
      <c r="G719" s="7" t="inlineStr">
        <is>
          <t>DANIEL EDUARDO SOTO BERNAL</t>
        </is>
      </c>
      <c r="H719" s="14" t="n">
        <v>1</v>
      </c>
      <c r="I719" s="15">
        <f>IF(H719="","",H719/2)</f>
        <v/>
      </c>
      <c r="J719" s="7">
        <f>IF(H719="",0,IF(SUMPRODUCT((Seguimientos!$A$2:$A$1013=A719)*(Seguimientos!$F$2:$F$1013=F719)*(Seguimientos!$B$2:$B$1013&gt;B719)*(Seguimientos!$H$2:$H$1013&lt;&gt;""))=0,1,0))</f>
        <v/>
      </c>
      <c r="K719" s="7">
        <f>A719&amp;"|"&amp;B719</f>
        <v/>
      </c>
      <c r="L719" s="13" t="inlineStr">
        <is>
          <t>El Sistema de Gestión Ambiental anexa envío de Story Board para inclusión del contenido del SGA en el módulo de bienvenida de Bienestar Universitario. Anexo 13, no se evidencia cronograma de articulación.</t>
        </is>
      </c>
    </row>
    <row r="720">
      <c r="A720" s="7" t="inlineStr">
        <is>
          <t>sga-2024-7-sna17bss</t>
        </is>
      </c>
      <c r="B720" s="7" t="n">
        <v>3</v>
      </c>
      <c r="C720" s="7" t="inlineStr">
        <is>
          <t>SGA</t>
        </is>
      </c>
      <c r="D720" s="7" t="inlineStr">
        <is>
          <t>2024</t>
        </is>
      </c>
      <c r="E720" s="7" t="n">
        <v>7</v>
      </c>
      <c r="F720" s="8" t="n">
        <v>45930</v>
      </c>
      <c r="G720" s="7" t="inlineStr">
        <is>
          <t>JOAN IMAYINNE GALVIS MORENO</t>
        </is>
      </c>
      <c r="H720" s="14" t="n">
        <v>1</v>
      </c>
      <c r="I720" s="15">
        <f>IF(H720="","",H720/2)</f>
        <v/>
      </c>
      <c r="J720" s="7">
        <f>IF(H720="",0,IF(SUMPRODUCT((Seguimientos!$A$2:$A$1013=A720)*(Seguimientos!$F$2:$F$1013=F720)*(Seguimientos!$B$2:$B$1013&gt;B720)*(Seguimientos!$H$2:$H$1013&lt;&gt;""))=0,1,0))</f>
        <v/>
      </c>
      <c r="K720" s="7">
        <f>A720&amp;"|"&amp;B720</f>
        <v/>
      </c>
      <c r="L720" s="13" t="inlineStr">
        <is>
          <t>El Sistema de Gestión Ambiental anexa envío de Story Board para inclusión del contenido del SGA en el módulo de bienvenida de Bienestar Universitario. Anexo 13, no se evidencia cronograma de articulación.</t>
        </is>
      </c>
    </row>
    <row r="721">
      <c r="A721" s="7" t="inlineStr">
        <is>
          <t>sga-2024-7-sna17bss</t>
        </is>
      </c>
      <c r="B721" s="7" t="n">
        <v>4</v>
      </c>
      <c r="C721" s="7" t="inlineStr">
        <is>
          <t>SGA</t>
        </is>
      </c>
      <c r="D721" s="7" t="inlineStr">
        <is>
          <t>2024</t>
        </is>
      </c>
      <c r="E721" s="7" t="n">
        <v>7</v>
      </c>
      <c r="F721" s="8" t="n">
        <v>46021</v>
      </c>
      <c r="G721" s="7" t="inlineStr">
        <is>
          <t>JOAN IMAYINNE GALVIS MORENO</t>
        </is>
      </c>
      <c r="H721" s="14" t="n">
        <v>1</v>
      </c>
      <c r="I721" s="15">
        <f>IF(H721="","",H721/2)</f>
        <v/>
      </c>
      <c r="J721" s="7">
        <f>IF(H721="",0,IF(SUMPRODUCT((Seguimientos!$A$2:$A$1013=A721)*(Seguimientos!$F$2:$F$1013=F721)*(Seguimientos!$B$2:$B$1013&gt;B721)*(Seguimientos!$H$2:$H$1013&lt;&gt;""))=0,1,0))</f>
        <v/>
      </c>
      <c r="K721" s="7">
        <f>A721&amp;"|"&amp;B721</f>
        <v/>
      </c>
      <c r="L721" s="13" t="inlineStr">
        <is>
          <t>Se evidencia correo electonico remitido a Bienestar Universitario esperando respuesta.</t>
        </is>
      </c>
    </row>
    <row r="722">
      <c r="A722" s="7" t="inlineStr">
        <is>
          <t>sga-2024-7-sna17bss</t>
        </is>
      </c>
      <c r="B722" s="7" t="n">
        <v>5</v>
      </c>
      <c r="C722" s="7" t="inlineStr">
        <is>
          <t>SGA</t>
        </is>
      </c>
      <c r="D722" s="7" t="inlineStr">
        <is>
          <t>2024</t>
        </is>
      </c>
      <c r="E722" s="7" t="n">
        <v>7</v>
      </c>
      <c r="F722" s="8" t="n">
        <v>46203</v>
      </c>
      <c r="G722" s="7" t="inlineStr">
        <is>
          <t>JOAN IMAYINNE GALVIS MORENO</t>
        </is>
      </c>
      <c r="H722" s="14" t="n">
        <v>1</v>
      </c>
      <c r="I722" s="15">
        <f>IF(H722="","",H722/2)</f>
        <v/>
      </c>
      <c r="J722" s="7">
        <f>IF(H722="",0,IF(SUMPRODUCT((Seguimientos!$A$2:$A$1013=A722)*(Seguimientos!$F$2:$F$1013=F722)*(Seguimientos!$B$2:$B$1013&gt;B722)*(Seguimientos!$H$2:$H$1013&lt;&gt;""))=0,1,0))</f>
        <v/>
      </c>
      <c r="K722" s="7">
        <f>A722&amp;"|"&amp;B722</f>
        <v/>
      </c>
      <c r="L722" s="13" t="inlineStr">
        <is>
          <t>Se evidencia correo electonico remitido a Bienestar Universitario esperando respuesta.</t>
        </is>
      </c>
    </row>
    <row r="723">
      <c r="A723" s="7" t="inlineStr">
        <is>
          <t>sga-2024-7-sn18hcag</t>
        </is>
      </c>
      <c r="B723" s="7" t="n">
        <v>1</v>
      </c>
      <c r="C723" s="7" t="inlineStr">
        <is>
          <t>SGA</t>
        </is>
      </c>
      <c r="D723" s="7" t="inlineStr">
        <is>
          <t>2024</t>
        </is>
      </c>
      <c r="E723" s="7" t="n">
        <v>7</v>
      </c>
      <c r="F723" s="8" t="n">
        <v>45777</v>
      </c>
      <c r="G723" s="7" t="inlineStr">
        <is>
          <t>DANIEL EDUARDO SOTO BERNAL</t>
        </is>
      </c>
      <c r="H723" s="14" t="n">
        <v>0</v>
      </c>
      <c r="I723" s="15">
        <f>IF(H723="","",H723/2)</f>
        <v/>
      </c>
      <c r="J723" s="7">
        <f>IF(H723="",0,IF(SUMPRODUCT((Seguimientos!$A$2:$A$1013=A723)*(Seguimientos!$F$2:$F$1013=F723)*(Seguimientos!$B$2:$B$1013&gt;B723)*(Seguimientos!$H$2:$H$1013&lt;&gt;""))=0,1,0))</f>
        <v/>
      </c>
      <c r="K723" s="7">
        <f>A723&amp;"|"&amp;B723</f>
        <v/>
      </c>
      <c r="L723" s="13" t="inlineStr"/>
    </row>
    <row r="724">
      <c r="A724" s="7" t="inlineStr">
        <is>
          <t>sga-2024-7-sn18hcag</t>
        </is>
      </c>
      <c r="B724" s="7" t="n">
        <v>2</v>
      </c>
      <c r="C724" s="7" t="inlineStr">
        <is>
          <t>SGA</t>
        </is>
      </c>
      <c r="D724" s="7" t="inlineStr">
        <is>
          <t>2024</t>
        </is>
      </c>
      <c r="E724" s="7" t="n">
        <v>7</v>
      </c>
      <c r="F724" s="8" t="n">
        <v>45838</v>
      </c>
      <c r="G724" s="7" t="inlineStr">
        <is>
          <t>DANIEL EDUARDO SOTO BERNAL</t>
        </is>
      </c>
      <c r="H724" s="14" t="n">
        <v>0</v>
      </c>
      <c r="I724" s="15">
        <f>IF(H724="","",H724/2)</f>
        <v/>
      </c>
      <c r="J724" s="7">
        <f>IF(H724="",0,IF(SUMPRODUCT((Seguimientos!$A$2:$A$1013=A724)*(Seguimientos!$F$2:$F$1013=F724)*(Seguimientos!$B$2:$B$1013&gt;B724)*(Seguimientos!$H$2:$H$1013&lt;&gt;""))=0,1,0))</f>
        <v/>
      </c>
      <c r="K724" s="7">
        <f>A724&amp;"|"&amp;B724</f>
        <v/>
      </c>
      <c r="L724" s="13" t="inlineStr"/>
    </row>
    <row r="725">
      <c r="A725" s="7" t="inlineStr">
        <is>
          <t>sga-2024-7-sn18hcag</t>
        </is>
      </c>
      <c r="B725" s="7" t="n">
        <v>3</v>
      </c>
      <c r="C725" s="7" t="inlineStr">
        <is>
          <t>SGA</t>
        </is>
      </c>
      <c r="D725" s="7" t="inlineStr">
        <is>
          <t>2024</t>
        </is>
      </c>
      <c r="E725" s="7" t="n">
        <v>7</v>
      </c>
      <c r="F725" s="8" t="n">
        <v>45930</v>
      </c>
      <c r="G725" s="7" t="inlineStr">
        <is>
          <t>JOAN IMAYINNE GALVIS MORENO</t>
        </is>
      </c>
      <c r="H725" s="14" t="n">
        <v>1</v>
      </c>
      <c r="I725" s="15">
        <f>IF(H725="","",H725/2)</f>
        <v/>
      </c>
      <c r="J725" s="7">
        <f>IF(H725="",0,IF(SUMPRODUCT((Seguimientos!$A$2:$A$1013=A725)*(Seguimientos!$F$2:$F$1013=F725)*(Seguimientos!$B$2:$B$1013&gt;B725)*(Seguimientos!$H$2:$H$1013&lt;&gt;""))=0,1,0))</f>
        <v/>
      </c>
      <c r="K725" s="7">
        <f>A725&amp;"|"&amp;B725</f>
        <v/>
      </c>
      <c r="L725" s="13" t="inlineStr">
        <is>
          <t>De acuerdp a lo remitido por el sistema de gestion ambiental, se identifica correos para realizar el formalecimiento pero no se evidencia la accion realizada</t>
        </is>
      </c>
    </row>
    <row r="726">
      <c r="A726" s="7" t="inlineStr">
        <is>
          <t>sga-2024-7-sn18hcag</t>
        </is>
      </c>
      <c r="B726" s="7" t="n">
        <v>4</v>
      </c>
      <c r="C726" s="7" t="inlineStr">
        <is>
          <t>SGA</t>
        </is>
      </c>
      <c r="D726" s="7" t="inlineStr">
        <is>
          <t>2024</t>
        </is>
      </c>
      <c r="E726" s="7" t="n">
        <v>7</v>
      </c>
      <c r="F726" s="8" t="n">
        <v>46021</v>
      </c>
      <c r="G726" s="7" t="inlineStr">
        <is>
          <t>JOAN IMAYINNE GALVIS MORENO</t>
        </is>
      </c>
      <c r="H726" s="14" t="n">
        <v>1</v>
      </c>
      <c r="I726" s="15">
        <f>IF(H726="","",H726/2)</f>
        <v/>
      </c>
      <c r="J726" s="7">
        <f>IF(H726="",0,IF(SUMPRODUCT((Seguimientos!$A$2:$A$1013=A726)*(Seguimientos!$F$2:$F$1013=F726)*(Seguimientos!$B$2:$B$1013&gt;B726)*(Seguimientos!$H$2:$H$1013&lt;&gt;""))=0,1,0))</f>
        <v/>
      </c>
      <c r="K726" s="7">
        <f>A726&amp;"|"&amp;B726</f>
        <v/>
      </c>
      <c r="L726" s="13" t="inlineStr">
        <is>
          <t>Se evidencia correo electonico remitido a Bienestar Universitario esperando respuesta.</t>
        </is>
      </c>
    </row>
    <row r="727">
      <c r="A727" s="7" t="inlineStr">
        <is>
          <t>sga-2024-7-sn18hcag</t>
        </is>
      </c>
      <c r="B727" s="7" t="n">
        <v>5</v>
      </c>
      <c r="C727" s="7" t="inlineStr">
        <is>
          <t>SGA</t>
        </is>
      </c>
      <c r="D727" s="7" t="inlineStr">
        <is>
          <t>2024</t>
        </is>
      </c>
      <c r="E727" s="7" t="n">
        <v>7</v>
      </c>
      <c r="F727" s="8" t="n">
        <v>46203</v>
      </c>
      <c r="G727" s="7" t="inlineStr">
        <is>
          <t>JOAN IMAYINNE GALVIS MORENO</t>
        </is>
      </c>
      <c r="H727" s="14" t="n">
        <v>1</v>
      </c>
      <c r="I727" s="15">
        <f>IF(H727="","",H727/2)</f>
        <v/>
      </c>
      <c r="J727" s="7">
        <f>IF(H727="",0,IF(SUMPRODUCT((Seguimientos!$A$2:$A$1013=A727)*(Seguimientos!$F$2:$F$1013=F727)*(Seguimientos!$B$2:$B$1013&gt;B727)*(Seguimientos!$H$2:$H$1013&lt;&gt;""))=0,1,0))</f>
        <v/>
      </c>
      <c r="K727" s="7">
        <f>A727&amp;"|"&amp;B727</f>
        <v/>
      </c>
      <c r="L727" s="13" t="inlineStr">
        <is>
          <t>Se evidencia correo electonico remitido a Bienestar Universitario esperando respuesta.</t>
        </is>
      </c>
    </row>
    <row r="728">
      <c r="A728" s="7" t="inlineStr">
        <is>
          <t>sga-2024-7-snhug77z</t>
        </is>
      </c>
      <c r="B728" s="7" t="n">
        <v>1</v>
      </c>
      <c r="C728" s="7" t="inlineStr">
        <is>
          <t>SGA</t>
        </is>
      </c>
      <c r="D728" s="7" t="inlineStr">
        <is>
          <t>2024</t>
        </is>
      </c>
      <c r="E728" s="7" t="n">
        <v>7</v>
      </c>
      <c r="F728" s="8" t="n">
        <v>45777</v>
      </c>
      <c r="G728" s="7" t="inlineStr">
        <is>
          <t>DANIEL EDUARDO SOTO BERNAL</t>
        </is>
      </c>
      <c r="H728" s="14" t="n">
        <v>0</v>
      </c>
      <c r="I728" s="15">
        <f>IF(H728="","",H728/2)</f>
        <v/>
      </c>
      <c r="J728" s="7">
        <f>IF(H728="",0,IF(SUMPRODUCT((Seguimientos!$A$2:$A$1013=A728)*(Seguimientos!$F$2:$F$1013=F728)*(Seguimientos!$B$2:$B$1013&gt;B728)*(Seguimientos!$H$2:$H$1013&lt;&gt;""))=0,1,0))</f>
        <v/>
      </c>
      <c r="K728" s="7">
        <f>A728&amp;"|"&amp;B728</f>
        <v/>
      </c>
      <c r="L728" s="13" t="inlineStr"/>
    </row>
    <row r="729">
      <c r="A729" s="7" t="inlineStr">
        <is>
          <t>sga-2024-7-snhug77z</t>
        </is>
      </c>
      <c r="B729" s="7" t="n">
        <v>2</v>
      </c>
      <c r="C729" s="7" t="inlineStr">
        <is>
          <t>SGA</t>
        </is>
      </c>
      <c r="D729" s="7" t="inlineStr">
        <is>
          <t>2024</t>
        </is>
      </c>
      <c r="E729" s="7" t="n">
        <v>7</v>
      </c>
      <c r="F729" s="8" t="n">
        <v>45838</v>
      </c>
      <c r="G729" s="7" t="inlineStr">
        <is>
          <t>DANIEL EDUARDO SOTO BERNAL</t>
        </is>
      </c>
      <c r="H729" s="14" t="n">
        <v>0</v>
      </c>
      <c r="I729" s="15">
        <f>IF(H729="","",H729/2)</f>
        <v/>
      </c>
      <c r="J729" s="7">
        <f>IF(H729="",0,IF(SUMPRODUCT((Seguimientos!$A$2:$A$1013=A729)*(Seguimientos!$F$2:$F$1013=F729)*(Seguimientos!$B$2:$B$1013&gt;B729)*(Seguimientos!$H$2:$H$1013&lt;&gt;""))=0,1,0))</f>
        <v/>
      </c>
      <c r="K729" s="7">
        <f>A729&amp;"|"&amp;B729</f>
        <v/>
      </c>
      <c r="L729" s="13" t="inlineStr"/>
    </row>
    <row r="730">
      <c r="A730" s="7" t="inlineStr">
        <is>
          <t>sga-2024-7-snhug77z</t>
        </is>
      </c>
      <c r="B730" s="7" t="n">
        <v>3</v>
      </c>
      <c r="C730" s="7" t="inlineStr">
        <is>
          <t>SGA</t>
        </is>
      </c>
      <c r="D730" s="7" t="inlineStr">
        <is>
          <t>2024</t>
        </is>
      </c>
      <c r="E730" s="7" t="n">
        <v>7</v>
      </c>
      <c r="F730" s="8" t="n">
        <v>45930</v>
      </c>
      <c r="G730" s="7" t="inlineStr">
        <is>
          <t>JOAN IMAYINNE GALVIS MORENO</t>
        </is>
      </c>
      <c r="H730" s="14" t="n">
        <v>0</v>
      </c>
      <c r="I730" s="15">
        <f>IF(H730="","",H730/2)</f>
        <v/>
      </c>
      <c r="J730" s="7">
        <f>IF(H730="",0,IF(SUMPRODUCT((Seguimientos!$A$2:$A$1013=A730)*(Seguimientos!$F$2:$F$1013=F730)*(Seguimientos!$B$2:$B$1013&gt;B730)*(Seguimientos!$H$2:$H$1013&lt;&gt;""))=0,1,0))</f>
        <v/>
      </c>
      <c r="K730" s="7">
        <f>A730&amp;"|"&amp;B730</f>
        <v/>
      </c>
      <c r="L730" s="13" t="inlineStr"/>
    </row>
    <row r="731">
      <c r="A731" s="7" t="inlineStr">
        <is>
          <t>sga-2024-7-snhug77z</t>
        </is>
      </c>
      <c r="B731" s="7" t="n">
        <v>4</v>
      </c>
      <c r="C731" s="7" t="inlineStr">
        <is>
          <t>SGA</t>
        </is>
      </c>
      <c r="D731" s="7" t="inlineStr">
        <is>
          <t>2024</t>
        </is>
      </c>
      <c r="E731" s="7" t="n">
        <v>7</v>
      </c>
      <c r="F731" s="8" t="n">
        <v>46021</v>
      </c>
      <c r="G731" s="7" t="inlineStr">
        <is>
          <t>JOAN IMAYINNE GALVIS MORENO</t>
        </is>
      </c>
      <c r="H731" s="14" t="n">
        <v>0</v>
      </c>
      <c r="I731" s="15">
        <f>IF(H731="","",H731/2)</f>
        <v/>
      </c>
      <c r="J731" s="7">
        <f>IF(H731="",0,IF(SUMPRODUCT((Seguimientos!$A$2:$A$1013=A731)*(Seguimientos!$F$2:$F$1013=F731)*(Seguimientos!$B$2:$B$1013&gt;B731)*(Seguimientos!$H$2:$H$1013&lt;&gt;""))=0,1,0))</f>
        <v/>
      </c>
      <c r="K731" s="7">
        <f>A731&amp;"|"&amp;B731</f>
        <v/>
      </c>
      <c r="L731" s="13" t="inlineStr">
        <is>
          <t>Se evidencia correo electonico remitido a Bienestar Universitario esperando respuesta.</t>
        </is>
      </c>
    </row>
    <row r="732">
      <c r="A732" s="7" t="inlineStr">
        <is>
          <t>sga-2024-7-snhug77z</t>
        </is>
      </c>
      <c r="B732" s="7" t="n">
        <v>5</v>
      </c>
      <c r="C732" s="7" t="inlineStr">
        <is>
          <t>SGA</t>
        </is>
      </c>
      <c r="D732" s="7" t="inlineStr">
        <is>
          <t>2024</t>
        </is>
      </c>
      <c r="E732" s="7" t="n">
        <v>7</v>
      </c>
      <c r="F732" s="8" t="n">
        <v>46203</v>
      </c>
      <c r="G732" s="7" t="inlineStr">
        <is>
          <t>JOAN IMAYINNE GALVIS MORENO</t>
        </is>
      </c>
      <c r="H732" s="14" t="n">
        <v>0</v>
      </c>
      <c r="I732" s="15">
        <f>IF(H732="","",H732/2)</f>
        <v/>
      </c>
      <c r="J732" s="7">
        <f>IF(H732="",0,IF(SUMPRODUCT((Seguimientos!$A$2:$A$1013=A732)*(Seguimientos!$F$2:$F$1013=F732)*(Seguimientos!$B$2:$B$1013&gt;B732)*(Seguimientos!$H$2:$H$1013&lt;&gt;""))=0,1,0))</f>
        <v/>
      </c>
      <c r="K732" s="7">
        <f>A732&amp;"|"&amp;B732</f>
        <v/>
      </c>
      <c r="L732" s="13" t="inlineStr">
        <is>
          <t>Se evidencia correo electonico remitido a Bienestar Universitario esperando respuesta.</t>
        </is>
      </c>
    </row>
    <row r="733">
      <c r="A733" s="7" t="inlineStr">
        <is>
          <t>sga-2024-8</t>
        </is>
      </c>
      <c r="B733" s="7" t="n">
        <v>1</v>
      </c>
      <c r="C733" s="7" t="inlineStr">
        <is>
          <t>SGA</t>
        </is>
      </c>
      <c r="D733" s="7" t="inlineStr">
        <is>
          <t>2024</t>
        </is>
      </c>
      <c r="E733" s="7" t="n">
        <v>8</v>
      </c>
      <c r="F733" s="8" t="n">
        <v>45777</v>
      </c>
      <c r="G733" s="7" t="inlineStr">
        <is>
          <t>DANIEL EDUARDO SOTO BERNAL</t>
        </is>
      </c>
      <c r="H733" s="14" t="n">
        <v>1</v>
      </c>
      <c r="I733" s="15">
        <f>IF(H733="","",H733/2)</f>
        <v/>
      </c>
      <c r="J733" s="7">
        <f>IF(H733="",0,IF(SUMPRODUCT((Seguimientos!$A$2:$A$1013=A733)*(Seguimientos!$F$2:$F$1013=F733)*(Seguimientos!$B$2:$B$1013&gt;B733)*(Seguimientos!$H$2:$H$1013&lt;&gt;""))=0,1,0))</f>
        <v/>
      </c>
      <c r="K733" s="7">
        <f>A733&amp;"|"&amp;B733</f>
        <v/>
      </c>
      <c r="L733" s="13" t="inlineStr">
        <is>
          <t>Se realiza a través de apoyo con pasante del programa de Ing. Ambiental de la Seccional Girardot, el desarrollo del material para la encuesta sobre necesidades de formación sobre Cambio Climático con aplicación institucional . Anexo 3. De igual forma se solicita el enlace en el micrositio del SGA de los cursos de formación gratuita de Naciones Unidas. Anexo 4.</t>
        </is>
      </c>
    </row>
    <row r="734">
      <c r="A734" s="7" t="inlineStr">
        <is>
          <t>sga-2024-8</t>
        </is>
      </c>
      <c r="B734" s="7" t="n">
        <v>2</v>
      </c>
      <c r="C734" s="7" t="inlineStr">
        <is>
          <t>SGA</t>
        </is>
      </c>
      <c r="D734" s="7" t="inlineStr">
        <is>
          <t>2024</t>
        </is>
      </c>
      <c r="E734" s="7" t="n">
        <v>8</v>
      </c>
      <c r="F734" s="8" t="n">
        <v>45838</v>
      </c>
      <c r="G734" s="7" t="inlineStr">
        <is>
          <t>DANIEL EDUARDO SOTO BERNAL</t>
        </is>
      </c>
      <c r="H734" s="14" t="n">
        <v>1</v>
      </c>
      <c r="I734" s="15">
        <f>IF(H734="","",H734/2)</f>
        <v/>
      </c>
      <c r="J734" s="7">
        <f>IF(H734="",0,IF(SUMPRODUCT((Seguimientos!$A$2:$A$1013=A734)*(Seguimientos!$F$2:$F$1013=F734)*(Seguimientos!$B$2:$B$1013&gt;B734)*(Seguimientos!$H$2:$H$1013&lt;&gt;""))=0,1,0))</f>
        <v/>
      </c>
      <c r="K734" s="7">
        <f>A734&amp;"|"&amp;B734</f>
        <v/>
      </c>
      <c r="L734" s="13" t="inlineStr">
        <is>
          <t>Se realiza a través de apoyo con pasante del programa de Ing. Ambiental de la Seccional Girardot, el desarrollo del material para la encuesta sobre necesidades de formación sobre Cambio Climático con aplicación institucional . Anexo 3. De igual forma se solicita el enlace en el micrositio del SGA de los cursos de formación gratuita de Naciones Unidas. Anexo 4.</t>
        </is>
      </c>
    </row>
    <row r="735">
      <c r="A735" s="7" t="inlineStr">
        <is>
          <t>sga-2024-8</t>
        </is>
      </c>
      <c r="B735" s="7" t="n">
        <v>3</v>
      </c>
      <c r="C735" s="7" t="inlineStr">
        <is>
          <t>SGA</t>
        </is>
      </c>
      <c r="D735" s="7" t="inlineStr">
        <is>
          <t>2024</t>
        </is>
      </c>
      <c r="E735" s="7" t="n">
        <v>8</v>
      </c>
      <c r="F735" s="8" t="n">
        <v>45930</v>
      </c>
      <c r="G735" s="7" t="inlineStr">
        <is>
          <t>JOAN IMAYINNE GALVIS MORENO</t>
        </is>
      </c>
      <c r="H735" s="14" t="n">
        <v>1</v>
      </c>
      <c r="I735" s="15">
        <f>IF(H735="","",H735/2)</f>
        <v/>
      </c>
      <c r="J735" s="7">
        <f>IF(H735="",0,IF(SUMPRODUCT((Seguimientos!$A$2:$A$1013=A735)*(Seguimientos!$F$2:$F$1013=F735)*(Seguimientos!$B$2:$B$1013&gt;B735)*(Seguimientos!$H$2:$H$1013&lt;&gt;""))=0,1,0))</f>
        <v/>
      </c>
      <c r="K735" s="7">
        <f>A735&amp;"|"&amp;B735</f>
        <v/>
      </c>
      <c r="L735" s="13" t="inlineStr">
        <is>
          <t>Se realiza a través de apoyo con pasante del programa de Ing. Ambiental de la Seccional Girardot, el desarrollo del material para la encuesta sobre necesidades de formación sobre Cambio Climático con aplicación institucional . Anexo 3. De igual forma se solicita el enlace en el micrositio del SGA de los cursos de formación gratuita de Naciones Unidas. Anexo 4. Se le recomienda anexar el enlace de los cursos</t>
        </is>
      </c>
    </row>
    <row r="736">
      <c r="A736" s="7" t="inlineStr">
        <is>
          <t>sga-2024-8</t>
        </is>
      </c>
      <c r="B736" s="7" t="n">
        <v>4</v>
      </c>
      <c r="C736" s="7" t="inlineStr">
        <is>
          <t>SGA</t>
        </is>
      </c>
      <c r="D736" s="7" t="inlineStr">
        <is>
          <t>2024</t>
        </is>
      </c>
      <c r="E736" s="7" t="n">
        <v>8</v>
      </c>
      <c r="F736" s="8" t="n">
        <v>46021</v>
      </c>
      <c r="G736" s="7" t="inlineStr">
        <is>
          <t>JOAN IMAYINNE GALVIS MORENO</t>
        </is>
      </c>
      <c r="H736" s="14" t="n">
        <v>1</v>
      </c>
      <c r="I736" s="15">
        <f>IF(H736="","",H736/2)</f>
        <v/>
      </c>
      <c r="J736" s="7">
        <f>IF(H736="",0,IF(SUMPRODUCT((Seguimientos!$A$2:$A$1013=A736)*(Seguimientos!$F$2:$F$1013=F736)*(Seguimientos!$B$2:$B$1013&gt;B736)*(Seguimientos!$H$2:$H$1013&lt;&gt;""))=0,1,0))</f>
        <v/>
      </c>
      <c r="K736" s="7">
        <f>A736&amp;"|"&amp;B736</f>
        <v/>
      </c>
      <c r="L736" s="13" t="inlineStr">
        <is>
          <t>Se sugiere realozar un informe mas detallado de lo evidenciado actualmente para tener completitud de incormaicon</t>
        </is>
      </c>
    </row>
    <row r="737">
      <c r="A737" s="7" t="inlineStr">
        <is>
          <t>sga-2024-8</t>
        </is>
      </c>
      <c r="B737" s="7" t="n">
        <v>5</v>
      </c>
      <c r="C737" s="7" t="inlineStr">
        <is>
          <t>SGA</t>
        </is>
      </c>
      <c r="D737" s="7" t="inlineStr">
        <is>
          <t>2024</t>
        </is>
      </c>
      <c r="E737" s="7" t="n">
        <v>8</v>
      </c>
      <c r="F737" s="8" t="n">
        <v>46203</v>
      </c>
      <c r="G737" s="7" t="inlineStr">
        <is>
          <t>JOAN IMAYINNE GALVIS MORENO</t>
        </is>
      </c>
      <c r="H737" s="14" t="n">
        <v>2</v>
      </c>
      <c r="I737" s="15">
        <f>IF(H737="","",H737/2)</f>
        <v/>
      </c>
      <c r="J737" s="7">
        <f>IF(H737="",0,IF(SUMPRODUCT((Seguimientos!$A$2:$A$1013=A737)*(Seguimientos!$F$2:$F$1013=F737)*(Seguimientos!$B$2:$B$1013&gt;B737)*(Seguimientos!$H$2:$H$1013&lt;&gt;""))=0,1,0))</f>
        <v/>
      </c>
      <c r="K737" s="7">
        <f>A737&amp;"|"&amp;B737</f>
        <v/>
      </c>
      <c r="L737" s="13" t="inlineStr">
        <is>
          <t>Actividad cumplida</t>
        </is>
      </c>
    </row>
    <row r="738">
      <c r="A738" s="7" t="inlineStr">
        <is>
          <t>sga-2024-8-sn1nvofr</t>
        </is>
      </c>
      <c r="B738" s="7" t="n">
        <v>1</v>
      </c>
      <c r="C738" s="7" t="inlineStr">
        <is>
          <t>SGA</t>
        </is>
      </c>
      <c r="D738" s="7" t="inlineStr">
        <is>
          <t>2024</t>
        </is>
      </c>
      <c r="E738" s="7" t="n">
        <v>8</v>
      </c>
      <c r="F738" s="8" t="n">
        <v>45777</v>
      </c>
      <c r="G738" s="7" t="inlineStr">
        <is>
          <t>DANIEL EDUARDO SOTO BERNAL</t>
        </is>
      </c>
      <c r="H738" s="14" t="n">
        <v>0</v>
      </c>
      <c r="I738" s="15">
        <f>IF(H738="","",H738/2)</f>
        <v/>
      </c>
      <c r="J738" s="7">
        <f>IF(H738="",0,IF(SUMPRODUCT((Seguimientos!$A$2:$A$1013=A738)*(Seguimientos!$F$2:$F$1013=F738)*(Seguimientos!$B$2:$B$1013&gt;B738)*(Seguimientos!$H$2:$H$1013&lt;&gt;""))=0,1,0))</f>
        <v/>
      </c>
      <c r="K738" s="7">
        <f>A738&amp;"|"&amp;B738</f>
        <v/>
      </c>
      <c r="L738" s="13" t="inlineStr"/>
    </row>
    <row r="739">
      <c r="A739" s="7" t="inlineStr">
        <is>
          <t>sga-2024-8-sn1nvofr</t>
        </is>
      </c>
      <c r="B739" s="7" t="n">
        <v>2</v>
      </c>
      <c r="C739" s="7" t="inlineStr">
        <is>
          <t>SGA</t>
        </is>
      </c>
      <c r="D739" s="7" t="inlineStr">
        <is>
          <t>2024</t>
        </is>
      </c>
      <c r="E739" s="7" t="n">
        <v>8</v>
      </c>
      <c r="F739" s="8" t="n">
        <v>45838</v>
      </c>
      <c r="G739" s="7" t="inlineStr">
        <is>
          <t>DANIEL EDUARDO SOTO BERNAL</t>
        </is>
      </c>
      <c r="H739" s="14" t="n">
        <v>2</v>
      </c>
      <c r="I739" s="15">
        <f>IF(H739="","",H739/2)</f>
        <v/>
      </c>
      <c r="J739" s="7">
        <f>IF(H739="",0,IF(SUMPRODUCT((Seguimientos!$A$2:$A$1013=A739)*(Seguimientos!$F$2:$F$1013=F739)*(Seguimientos!$B$2:$B$1013&gt;B739)*(Seguimientos!$H$2:$H$1013&lt;&gt;""))=0,1,0))</f>
        <v/>
      </c>
      <c r="K739" s="7">
        <f>A739&amp;"|"&amp;B739</f>
        <v/>
      </c>
      <c r="L739" s="13" t="inlineStr">
        <is>
          <t>El Sistema de Gestión Ambiental anexa documento PDF donde evidencia …”se realiza ajuste del contenido de las inducciones incluyendo la información relacionada con Cambio climático, y se articula a través del micrositio formación externa y gratuita sobre cambio climático. Anexo 14.</t>
        </is>
      </c>
    </row>
    <row r="740">
      <c r="A740" s="7" t="inlineStr">
        <is>
          <t>sga-2024-8-sn1nvofr</t>
        </is>
      </c>
      <c r="B740" s="7" t="n">
        <v>3</v>
      </c>
      <c r="C740" s="7" t="inlineStr">
        <is>
          <t>SGA</t>
        </is>
      </c>
      <c r="D740" s="7" t="inlineStr">
        <is>
          <t>2024</t>
        </is>
      </c>
      <c r="E740" s="7" t="n">
        <v>8</v>
      </c>
      <c r="F740" s="8" t="n">
        <v>45930</v>
      </c>
      <c r="G740" s="7" t="inlineStr">
        <is>
          <t>JOAN IMAYINNE GALVIS MORENO</t>
        </is>
      </c>
      <c r="H740" s="14" t="n">
        <v>2</v>
      </c>
      <c r="I740" s="15">
        <f>IF(H740="","",H740/2)</f>
        <v/>
      </c>
      <c r="J740" s="7">
        <f>IF(H740="",0,IF(SUMPRODUCT((Seguimientos!$A$2:$A$1013=A740)*(Seguimientos!$F$2:$F$1013=F740)*(Seguimientos!$B$2:$B$1013&gt;B740)*(Seguimientos!$H$2:$H$1013&lt;&gt;""))=0,1,0))</f>
        <v/>
      </c>
      <c r="K740" s="7">
        <f>A740&amp;"|"&amp;B740</f>
        <v/>
      </c>
      <c r="L740" s="13" t="inlineStr">
        <is>
          <t>Actividad cumplida</t>
        </is>
      </c>
    </row>
    <row r="741">
      <c r="A741" s="7" t="inlineStr">
        <is>
          <t>sga-2024-8-sn1nvofr</t>
        </is>
      </c>
      <c r="B741" s="7" t="n">
        <v>4</v>
      </c>
      <c r="C741" s="7" t="inlineStr">
        <is>
          <t>SGA</t>
        </is>
      </c>
      <c r="D741" s="7" t="inlineStr">
        <is>
          <t>2024</t>
        </is>
      </c>
      <c r="E741" s="7" t="n">
        <v>8</v>
      </c>
      <c r="F741" s="8" t="n">
        <v>46021</v>
      </c>
      <c r="G741" s="7" t="inlineStr">
        <is>
          <t>JOAN IMAYINNE GALVIS MORENO</t>
        </is>
      </c>
      <c r="H741" s="14" t="n">
        <v>2</v>
      </c>
      <c r="I741" s="15">
        <f>IF(H741="","",H741/2)</f>
        <v/>
      </c>
      <c r="J741" s="7">
        <f>IF(H741="",0,IF(SUMPRODUCT((Seguimientos!$A$2:$A$1013=A741)*(Seguimientos!$F$2:$F$1013=F741)*(Seguimientos!$B$2:$B$1013&gt;B741)*(Seguimientos!$H$2:$H$1013&lt;&gt;""))=0,1,0))</f>
        <v/>
      </c>
      <c r="K741" s="7">
        <f>A741&amp;"|"&amp;B741</f>
        <v/>
      </c>
      <c r="L741" s="13" t="inlineStr">
        <is>
          <t>Actividad cumplida</t>
        </is>
      </c>
    </row>
    <row r="742">
      <c r="A742" s="7" t="inlineStr">
        <is>
          <t>sga-2024-8-sn1nvofr</t>
        </is>
      </c>
      <c r="B742" s="7" t="n">
        <v>5</v>
      </c>
      <c r="C742" s="7" t="inlineStr">
        <is>
          <t>SGA</t>
        </is>
      </c>
      <c r="D742" s="7" t="inlineStr">
        <is>
          <t>2024</t>
        </is>
      </c>
      <c r="E742" s="7" t="n">
        <v>8</v>
      </c>
      <c r="F742" s="8" t="n">
        <v>46203</v>
      </c>
      <c r="G742" s="7" t="inlineStr">
        <is>
          <t>JOAN IMAYINNE GALVIS MORENO</t>
        </is>
      </c>
      <c r="H742" s="14" t="n">
        <v>2</v>
      </c>
      <c r="I742" s="15">
        <f>IF(H742="","",H742/2)</f>
        <v/>
      </c>
      <c r="J742" s="7">
        <f>IF(H742="",0,IF(SUMPRODUCT((Seguimientos!$A$2:$A$1013=A742)*(Seguimientos!$F$2:$F$1013=F742)*(Seguimientos!$B$2:$B$1013&gt;B742)*(Seguimientos!$H$2:$H$1013&lt;&gt;""))=0,1,0))</f>
        <v/>
      </c>
      <c r="K742" s="7">
        <f>A742&amp;"|"&amp;B742</f>
        <v/>
      </c>
      <c r="L742" s="13" t="inlineStr">
        <is>
          <t>Actividad cumplida</t>
        </is>
      </c>
    </row>
    <row r="743">
      <c r="A743" s="7" t="inlineStr">
        <is>
          <t>sga-2024-8-snf8z6x0</t>
        </is>
      </c>
      <c r="B743" s="7" t="n">
        <v>1</v>
      </c>
      <c r="C743" s="7" t="inlineStr">
        <is>
          <t>SGA</t>
        </is>
      </c>
      <c r="D743" s="7" t="inlineStr">
        <is>
          <t>2024</t>
        </is>
      </c>
      <c r="E743" s="7" t="n">
        <v>8</v>
      </c>
      <c r="F743" s="8" t="n">
        <v>45777</v>
      </c>
      <c r="G743" s="7" t="inlineStr">
        <is>
          <t>DANIEL EDUARDO SOTO BERNAL</t>
        </is>
      </c>
      <c r="H743" s="14" t="n">
        <v>0</v>
      </c>
      <c r="I743" s="15">
        <f>IF(H743="","",H743/2)</f>
        <v/>
      </c>
      <c r="J743" s="7">
        <f>IF(H743="",0,IF(SUMPRODUCT((Seguimientos!$A$2:$A$1013=A743)*(Seguimientos!$F$2:$F$1013=F743)*(Seguimientos!$B$2:$B$1013&gt;B743)*(Seguimientos!$H$2:$H$1013&lt;&gt;""))=0,1,0))</f>
        <v/>
      </c>
      <c r="K743" s="7">
        <f>A743&amp;"|"&amp;B743</f>
        <v/>
      </c>
      <c r="L743" s="13" t="inlineStr"/>
    </row>
    <row r="744">
      <c r="A744" s="7" t="inlineStr">
        <is>
          <t>sga-2024-8-snf8z6x0</t>
        </is>
      </c>
      <c r="B744" s="7" t="n">
        <v>2</v>
      </c>
      <c r="C744" s="7" t="inlineStr">
        <is>
          <t>SGA</t>
        </is>
      </c>
      <c r="D744" s="7" t="inlineStr">
        <is>
          <t>2024</t>
        </is>
      </c>
      <c r="E744" s="7" t="n">
        <v>8</v>
      </c>
      <c r="F744" s="8" t="n">
        <v>45838</v>
      </c>
      <c r="G744" s="7" t="inlineStr">
        <is>
          <t>DANIEL EDUARDO SOTO BERNAL</t>
        </is>
      </c>
      <c r="H744" s="14" t="n">
        <v>0</v>
      </c>
      <c r="I744" s="15">
        <f>IF(H744="","",H744/2)</f>
        <v/>
      </c>
      <c r="J744" s="7">
        <f>IF(H744="",0,IF(SUMPRODUCT((Seguimientos!$A$2:$A$1013=A744)*(Seguimientos!$F$2:$F$1013=F744)*(Seguimientos!$B$2:$B$1013&gt;B744)*(Seguimientos!$H$2:$H$1013&lt;&gt;""))=0,1,0))</f>
        <v/>
      </c>
      <c r="K744" s="7">
        <f>A744&amp;"|"&amp;B744</f>
        <v/>
      </c>
      <c r="L744" s="13" t="inlineStr"/>
    </row>
    <row r="745">
      <c r="A745" s="7" t="inlineStr">
        <is>
          <t>sga-2024-8-snf8z6x0</t>
        </is>
      </c>
      <c r="B745" s="7" t="n">
        <v>3</v>
      </c>
      <c r="C745" s="7" t="inlineStr">
        <is>
          <t>SGA</t>
        </is>
      </c>
      <c r="D745" s="7" t="inlineStr">
        <is>
          <t>2024</t>
        </is>
      </c>
      <c r="E745" s="7" t="n">
        <v>8</v>
      </c>
      <c r="F745" s="8" t="n">
        <v>45930</v>
      </c>
      <c r="G745" s="7" t="inlineStr">
        <is>
          <t>JOAN IMAYINNE GALVIS MORENO</t>
        </is>
      </c>
      <c r="H745" s="14" t="n">
        <v>1</v>
      </c>
      <c r="I745" s="15">
        <f>IF(H745="","",H745/2)</f>
        <v/>
      </c>
      <c r="J745" s="7">
        <f>IF(H745="",0,IF(SUMPRODUCT((Seguimientos!$A$2:$A$1013=A745)*(Seguimientos!$F$2:$F$1013=F745)*(Seguimientos!$B$2:$B$1013&gt;B745)*(Seguimientos!$H$2:$H$1013&lt;&gt;""))=0,1,0))</f>
        <v/>
      </c>
      <c r="K745" s="7">
        <f>A745&amp;"|"&amp;B745</f>
        <v/>
      </c>
      <c r="L745" s="13" t="inlineStr">
        <is>
          <t>Se identifica programacion en cronograma, sin embargo aun no se identifica gestion de la misma,Anexo 22 sin embago en el Anexo 3 se identifica lista de asistencia, se insta al proceso a complementar mejor las evidencias según las actividades.</t>
        </is>
      </c>
    </row>
    <row r="746">
      <c r="A746" s="7" t="inlineStr">
        <is>
          <t>sga-2024-8-snf8z6x0</t>
        </is>
      </c>
      <c r="B746" s="7" t="n">
        <v>4</v>
      </c>
      <c r="C746" s="7" t="inlineStr">
        <is>
          <t>SGA</t>
        </is>
      </c>
      <c r="D746" s="7" t="inlineStr">
        <is>
          <t>2024</t>
        </is>
      </c>
      <c r="E746" s="7" t="n">
        <v>8</v>
      </c>
      <c r="F746" s="8" t="n">
        <v>46021</v>
      </c>
      <c r="G746" s="7" t="inlineStr">
        <is>
          <t>JOAN IMAYINNE GALVIS MORENO</t>
        </is>
      </c>
      <c r="H746" s="14" t="n">
        <v>1</v>
      </c>
      <c r="I746" s="15">
        <f>IF(H746="","",H746/2)</f>
        <v/>
      </c>
      <c r="J746" s="7">
        <f>IF(H746="",0,IF(SUMPRODUCT((Seguimientos!$A$2:$A$1013=A746)*(Seguimientos!$F$2:$F$1013=F746)*(Seguimientos!$B$2:$B$1013&gt;B746)*(Seguimientos!$H$2:$H$1013&lt;&gt;""))=0,1,0))</f>
        <v/>
      </c>
      <c r="K746" s="7">
        <f>A746&amp;"|"&amp;B746</f>
        <v/>
      </c>
      <c r="L746" s="13" t="inlineStr">
        <is>
          <t>Se sugiere realozar un informe mas detallado de lo evidenciado actualmente para tener completitud de incormaicon</t>
        </is>
      </c>
    </row>
    <row r="747">
      <c r="A747" s="7" t="inlineStr">
        <is>
          <t>sga-2024-8-snf8z6x0</t>
        </is>
      </c>
      <c r="B747" s="7" t="n">
        <v>5</v>
      </c>
      <c r="C747" s="7" t="inlineStr">
        <is>
          <t>SGA</t>
        </is>
      </c>
      <c r="D747" s="7" t="inlineStr">
        <is>
          <t>2024</t>
        </is>
      </c>
      <c r="E747" s="7" t="n">
        <v>8</v>
      </c>
      <c r="F747" s="8" t="n">
        <v>46203</v>
      </c>
      <c r="G747" s="7" t="inlineStr">
        <is>
          <t>JOAN IMAYINNE GALVIS MORENO</t>
        </is>
      </c>
      <c r="H747" s="14" t="n">
        <v>2</v>
      </c>
      <c r="I747" s="15">
        <f>IF(H747="","",H747/2)</f>
        <v/>
      </c>
      <c r="J747" s="7">
        <f>IF(H747="",0,IF(SUMPRODUCT((Seguimientos!$A$2:$A$1013=A747)*(Seguimientos!$F$2:$F$1013=F747)*(Seguimientos!$B$2:$B$1013&gt;B747)*(Seguimientos!$H$2:$H$1013&lt;&gt;""))=0,1,0))</f>
        <v/>
      </c>
      <c r="K747" s="7">
        <f>A747&amp;"|"&amp;B747</f>
        <v/>
      </c>
      <c r="L747" s="13" t="inlineStr">
        <is>
          <t>Actividad cumplida</t>
        </is>
      </c>
    </row>
    <row r="748">
      <c r="A748" s="7" t="inlineStr">
        <is>
          <t>sga-2024-8-sniqbhat</t>
        </is>
      </c>
      <c r="B748" s="7" t="n">
        <v>1</v>
      </c>
      <c r="C748" s="7" t="inlineStr">
        <is>
          <t>SGA</t>
        </is>
      </c>
      <c r="D748" s="7" t="inlineStr">
        <is>
          <t>2024</t>
        </is>
      </c>
      <c r="E748" s="7" t="n">
        <v>8</v>
      </c>
      <c r="F748" s="8" t="n">
        <v>45777</v>
      </c>
      <c r="G748" s="7" t="inlineStr">
        <is>
          <t>DANIEL EDUARDO SOTO BERNAL</t>
        </is>
      </c>
      <c r="H748" s="14" t="n">
        <v>0</v>
      </c>
      <c r="I748" s="15">
        <f>IF(H748="","",H748/2)</f>
        <v/>
      </c>
      <c r="J748" s="7">
        <f>IF(H748="",0,IF(SUMPRODUCT((Seguimientos!$A$2:$A$1013=A748)*(Seguimientos!$F$2:$F$1013=F748)*(Seguimientos!$B$2:$B$1013&gt;B748)*(Seguimientos!$H$2:$H$1013&lt;&gt;""))=0,1,0))</f>
        <v/>
      </c>
      <c r="K748" s="7">
        <f>A748&amp;"|"&amp;B748</f>
        <v/>
      </c>
      <c r="L748" s="13" t="inlineStr"/>
    </row>
    <row r="749">
      <c r="A749" s="7" t="inlineStr">
        <is>
          <t>sga-2024-8-sniqbhat</t>
        </is>
      </c>
      <c r="B749" s="7" t="n">
        <v>2</v>
      </c>
      <c r="C749" s="7" t="inlineStr">
        <is>
          <t>SGA</t>
        </is>
      </c>
      <c r="D749" s="7" t="inlineStr">
        <is>
          <t>2024</t>
        </is>
      </c>
      <c r="E749" s="7" t="n">
        <v>8</v>
      </c>
      <c r="F749" s="8" t="n">
        <v>45838</v>
      </c>
      <c r="G749" s="7" t="inlineStr">
        <is>
          <t>DANIEL EDUARDO SOTO BERNAL</t>
        </is>
      </c>
      <c r="H749" s="14" t="n">
        <v>0</v>
      </c>
      <c r="I749" s="15">
        <f>IF(H749="","",H749/2)</f>
        <v/>
      </c>
      <c r="J749" s="7">
        <f>IF(H749="",0,IF(SUMPRODUCT((Seguimientos!$A$2:$A$1013=A749)*(Seguimientos!$F$2:$F$1013=F749)*(Seguimientos!$B$2:$B$1013&gt;B749)*(Seguimientos!$H$2:$H$1013&lt;&gt;""))=0,1,0))</f>
        <v/>
      </c>
      <c r="K749" s="7">
        <f>A749&amp;"|"&amp;B749</f>
        <v/>
      </c>
      <c r="L749" s="13" t="inlineStr"/>
    </row>
    <row r="750">
      <c r="A750" s="7" t="inlineStr">
        <is>
          <t>sga-2024-8-sniqbhat</t>
        </is>
      </c>
      <c r="B750" s="7" t="n">
        <v>3</v>
      </c>
      <c r="C750" s="7" t="inlineStr">
        <is>
          <t>SGA</t>
        </is>
      </c>
      <c r="D750" s="7" t="inlineStr">
        <is>
          <t>2024</t>
        </is>
      </c>
      <c r="E750" s="7" t="n">
        <v>8</v>
      </c>
      <c r="F750" s="8" t="n">
        <v>45930</v>
      </c>
      <c r="G750" s="7" t="inlineStr">
        <is>
          <t>JOAN IMAYINNE GALVIS MORENO</t>
        </is>
      </c>
      <c r="H750" s="14" t="n">
        <v>0</v>
      </c>
      <c r="I750" s="15">
        <f>IF(H750="","",H750/2)</f>
        <v/>
      </c>
      <c r="J750" s="7">
        <f>IF(H750="",0,IF(SUMPRODUCT((Seguimientos!$A$2:$A$1013=A750)*(Seguimientos!$F$2:$F$1013=F750)*(Seguimientos!$B$2:$B$1013&gt;B750)*(Seguimientos!$H$2:$H$1013&lt;&gt;""))=0,1,0))</f>
        <v/>
      </c>
      <c r="K750" s="7">
        <f>A750&amp;"|"&amp;B750</f>
        <v/>
      </c>
      <c r="L750" s="13" t="inlineStr">
        <is>
          <t>Según las evidencias remitidas se recibe lista de asistencia, sin embargo el entregable de los resultados de la actividad no estan.</t>
        </is>
      </c>
    </row>
    <row r="751">
      <c r="A751" s="7" t="inlineStr">
        <is>
          <t>sga-2024-8-sniqbhat</t>
        </is>
      </c>
      <c r="B751" s="7" t="n">
        <v>4</v>
      </c>
      <c r="C751" s="7" t="inlineStr">
        <is>
          <t>SGA</t>
        </is>
      </c>
      <c r="D751" s="7" t="inlineStr">
        <is>
          <t>2024</t>
        </is>
      </c>
      <c r="E751" s="7" t="n">
        <v>8</v>
      </c>
      <c r="F751" s="8" t="n">
        <v>46021</v>
      </c>
      <c r="G751" s="7" t="inlineStr">
        <is>
          <t>JOAN IMAYINNE GALVIS MORENO</t>
        </is>
      </c>
      <c r="H751" s="14" t="n">
        <v>0</v>
      </c>
      <c r="I751" s="15">
        <f>IF(H751="","",H751/2)</f>
        <v/>
      </c>
      <c r="J751" s="7">
        <f>IF(H751="",0,IF(SUMPRODUCT((Seguimientos!$A$2:$A$1013=A751)*(Seguimientos!$F$2:$F$1013=F751)*(Seguimientos!$B$2:$B$1013&gt;B751)*(Seguimientos!$H$2:$H$1013&lt;&gt;""))=0,1,0))</f>
        <v/>
      </c>
      <c r="K751" s="7">
        <f>A751&amp;"|"&amp;B751</f>
        <v/>
      </c>
      <c r="L751" s="13" t="inlineStr">
        <is>
          <t>Se sugiere realozar un informe mas detallado de lo evidenciado actualmente para tener completitud de incormaicon</t>
        </is>
      </c>
    </row>
    <row r="752">
      <c r="A752" s="7" t="inlineStr">
        <is>
          <t>sga-2024-8-sniqbhat</t>
        </is>
      </c>
      <c r="B752" s="7" t="n">
        <v>5</v>
      </c>
      <c r="C752" s="7" t="inlineStr">
        <is>
          <t>SGA</t>
        </is>
      </c>
      <c r="D752" s="7" t="inlineStr">
        <is>
          <t>2024</t>
        </is>
      </c>
      <c r="E752" s="7" t="n">
        <v>8</v>
      </c>
      <c r="F752" s="8" t="n">
        <v>46203</v>
      </c>
      <c r="G752" s="7" t="inlineStr">
        <is>
          <t>JOAN IMAYINNE GALVIS MORENO</t>
        </is>
      </c>
      <c r="H752" s="14" t="n">
        <v>0</v>
      </c>
      <c r="I752" s="15">
        <f>IF(H752="","",H752/2)</f>
        <v/>
      </c>
      <c r="J752" s="7">
        <f>IF(H752="",0,IF(SUMPRODUCT((Seguimientos!$A$2:$A$1013=A752)*(Seguimientos!$F$2:$F$1013=F752)*(Seguimientos!$B$2:$B$1013&gt;B752)*(Seguimientos!$H$2:$H$1013&lt;&gt;""))=0,1,0))</f>
        <v/>
      </c>
      <c r="K752" s="7">
        <f>A752&amp;"|"&amp;B752</f>
        <v/>
      </c>
      <c r="L752" s="13" t="inlineStr">
        <is>
          <t>Se sugiere realozar un informe mas detallado de lo evidenciado actualmente para tener completitud de incormaicon</t>
        </is>
      </c>
    </row>
    <row r="753">
      <c r="A753" s="7" t="inlineStr">
        <is>
          <t>sga-2024-9</t>
        </is>
      </c>
      <c r="B753" s="7" t="n">
        <v>1</v>
      </c>
      <c r="C753" s="7" t="inlineStr">
        <is>
          <t>SGA</t>
        </is>
      </c>
      <c r="D753" s="7" t="inlineStr">
        <is>
          <t>2024</t>
        </is>
      </c>
      <c r="E753" s="7" t="n">
        <v>9</v>
      </c>
      <c r="F753" s="8" t="n">
        <v>45777</v>
      </c>
      <c r="G753" s="7" t="inlineStr">
        <is>
          <t>DANIEL EDUARDO SOTO BERNAL</t>
        </is>
      </c>
      <c r="H753" s="14" t="n">
        <v>2</v>
      </c>
      <c r="I753" s="15">
        <f>IF(H753="","",H753/2)</f>
        <v/>
      </c>
      <c r="J753" s="7">
        <f>IF(H753="",0,IF(SUMPRODUCT((Seguimientos!$A$2:$A$1013=A753)*(Seguimientos!$F$2:$F$1013=F753)*(Seguimientos!$B$2:$B$1013&gt;B753)*(Seguimientos!$H$2:$H$1013&lt;&gt;""))=0,1,0))</f>
        <v/>
      </c>
      <c r="K753" s="7">
        <f>A753&amp;"|"&amp;B753</f>
        <v/>
      </c>
      <c r="L753" s="13" t="inlineStr">
        <is>
          <t>Se realiza la programación en todas las Unidades regionales de las Inducciones sobre el SGA incluyendo todo el personal administrativo y el personal de Gestores de conocimiento. Se socializa con el Dirección de Talento Humano. Anexo 5</t>
        </is>
      </c>
    </row>
    <row r="754">
      <c r="A754" s="7" t="inlineStr">
        <is>
          <t>sga-2024-9</t>
        </is>
      </c>
      <c r="B754" s="7" t="n">
        <v>2</v>
      </c>
      <c r="C754" s="7" t="inlineStr">
        <is>
          <t>SGA</t>
        </is>
      </c>
      <c r="D754" s="7" t="inlineStr">
        <is>
          <t>2024</t>
        </is>
      </c>
      <c r="E754" s="7" t="n">
        <v>9</v>
      </c>
      <c r="F754" s="8" t="n">
        <v>45838</v>
      </c>
      <c r="G754" s="7" t="inlineStr">
        <is>
          <t>DANIEL EDUARDO SOTO BERNAL</t>
        </is>
      </c>
      <c r="H754" s="14" t="n">
        <v>2</v>
      </c>
      <c r="I754" s="15">
        <f>IF(H754="","",H754/2)</f>
        <v/>
      </c>
      <c r="J754" s="7">
        <f>IF(H754="",0,IF(SUMPRODUCT((Seguimientos!$A$2:$A$1013=A754)*(Seguimientos!$F$2:$F$1013=F754)*(Seguimientos!$B$2:$B$1013&gt;B754)*(Seguimientos!$H$2:$H$1013&lt;&gt;""))=0,1,0))</f>
        <v/>
      </c>
      <c r="K754" s="7">
        <f>A754&amp;"|"&amp;B754</f>
        <v/>
      </c>
      <c r="L754" s="13" t="inlineStr">
        <is>
          <t>Se realiza la programación en todas las Unidades regionales de las Inducciones sobre el SGA incluyendo todo el personal administrativo y el personal de Gestores de conocimiento. Se socializa con el Dirección de Talento Humano. Anexo 5</t>
        </is>
      </c>
    </row>
    <row r="755">
      <c r="A755" s="7" t="inlineStr">
        <is>
          <t>sga-2024-9</t>
        </is>
      </c>
      <c r="B755" s="7" t="n">
        <v>3</v>
      </c>
      <c r="C755" s="7" t="inlineStr">
        <is>
          <t>SGA</t>
        </is>
      </c>
      <c r="D755" s="7" t="inlineStr">
        <is>
          <t>2024</t>
        </is>
      </c>
      <c r="E755" s="7" t="n">
        <v>9</v>
      </c>
      <c r="F755" s="8" t="n">
        <v>45930</v>
      </c>
      <c r="G755" s="7" t="inlineStr">
        <is>
          <t>JOAN IMAYINNE GALVIS MORENO</t>
        </is>
      </c>
      <c r="H755" s="14" t="n">
        <v>2</v>
      </c>
      <c r="I755" s="15">
        <f>IF(H755="","",H755/2)</f>
        <v/>
      </c>
      <c r="J755" s="7">
        <f>IF(H755="",0,IF(SUMPRODUCT((Seguimientos!$A$2:$A$1013=A755)*(Seguimientos!$F$2:$F$1013=F755)*(Seguimientos!$B$2:$B$1013&gt;B755)*(Seguimientos!$H$2:$H$1013&lt;&gt;""))=0,1,0))</f>
        <v/>
      </c>
      <c r="K755" s="7">
        <f>A755&amp;"|"&amp;B755</f>
        <v/>
      </c>
      <c r="L755" s="13" t="inlineStr">
        <is>
          <t>Actividad cumplida</t>
        </is>
      </c>
    </row>
    <row r="756">
      <c r="A756" s="7" t="inlineStr">
        <is>
          <t>sga-2024-9</t>
        </is>
      </c>
      <c r="B756" s="7" t="n">
        <v>4</v>
      </c>
      <c r="C756" s="7" t="inlineStr">
        <is>
          <t>SGA</t>
        </is>
      </c>
      <c r="D756" s="7" t="inlineStr">
        <is>
          <t>2024</t>
        </is>
      </c>
      <c r="E756" s="7" t="n">
        <v>9</v>
      </c>
      <c r="F756" s="8" t="n">
        <v>46021</v>
      </c>
      <c r="G756" s="7" t="inlineStr">
        <is>
          <t>JOAN IMAYINNE GALVIS MORENO</t>
        </is>
      </c>
      <c r="H756" s="14" t="n">
        <v>2</v>
      </c>
      <c r="I756" s="15">
        <f>IF(H756="","",H756/2)</f>
        <v/>
      </c>
      <c r="J756" s="7">
        <f>IF(H756="",0,IF(SUMPRODUCT((Seguimientos!$A$2:$A$1013=A756)*(Seguimientos!$F$2:$F$1013=F756)*(Seguimientos!$B$2:$B$1013&gt;B756)*(Seguimientos!$H$2:$H$1013&lt;&gt;""))=0,1,0))</f>
        <v/>
      </c>
      <c r="K756" s="7">
        <f>A756&amp;"|"&amp;B756</f>
        <v/>
      </c>
      <c r="L756" s="13" t="inlineStr">
        <is>
          <t>Actividad cumplida</t>
        </is>
      </c>
    </row>
    <row r="757">
      <c r="A757" s="7" t="inlineStr">
        <is>
          <t>sga-2024-9</t>
        </is>
      </c>
      <c r="B757" s="7" t="n">
        <v>5</v>
      </c>
      <c r="C757" s="7" t="inlineStr">
        <is>
          <t>SGA</t>
        </is>
      </c>
      <c r="D757" s="7" t="inlineStr">
        <is>
          <t>2024</t>
        </is>
      </c>
      <c r="E757" s="7" t="n">
        <v>9</v>
      </c>
      <c r="F757" s="8" t="n">
        <v>46203</v>
      </c>
      <c r="G757" s="7" t="inlineStr">
        <is>
          <t>JOAN IMAYINNE GALVIS MORENO</t>
        </is>
      </c>
      <c r="H757" s="14" t="n">
        <v>2</v>
      </c>
      <c r="I757" s="15">
        <f>IF(H757="","",H757/2)</f>
        <v/>
      </c>
      <c r="J757" s="7">
        <f>IF(H757="",0,IF(SUMPRODUCT((Seguimientos!$A$2:$A$1013=A757)*(Seguimientos!$F$2:$F$1013=F757)*(Seguimientos!$B$2:$B$1013&gt;B757)*(Seguimientos!$H$2:$H$1013&lt;&gt;""))=0,1,0))</f>
        <v/>
      </c>
      <c r="K757" s="7">
        <f>A757&amp;"|"&amp;B757</f>
        <v/>
      </c>
      <c r="L757" s="13" t="inlineStr">
        <is>
          <t>Actividad cumplida</t>
        </is>
      </c>
    </row>
    <row r="758">
      <c r="A758" s="7" t="inlineStr">
        <is>
          <t>sga-2024-9-sn7dluus</t>
        </is>
      </c>
      <c r="B758" s="7" t="n">
        <v>1</v>
      </c>
      <c r="C758" s="7" t="inlineStr">
        <is>
          <t>SGA</t>
        </is>
      </c>
      <c r="D758" s="7" t="inlineStr">
        <is>
          <t>2024</t>
        </is>
      </c>
      <c r="E758" s="7" t="n">
        <v>9</v>
      </c>
      <c r="F758" s="8" t="n">
        <v>45777</v>
      </c>
      <c r="G758" s="7" t="inlineStr">
        <is>
          <t>DANIEL EDUARDO SOTO BERNAL</t>
        </is>
      </c>
      <c r="H758" s="14" t="n">
        <v>0</v>
      </c>
      <c r="I758" s="15">
        <f>IF(H758="","",H758/2)</f>
        <v/>
      </c>
      <c r="J758" s="7">
        <f>IF(H758="",0,IF(SUMPRODUCT((Seguimientos!$A$2:$A$1013=A758)*(Seguimientos!$F$2:$F$1013=F758)*(Seguimientos!$B$2:$B$1013&gt;B758)*(Seguimientos!$H$2:$H$1013&lt;&gt;""))=0,1,0))</f>
        <v/>
      </c>
      <c r="K758" s="7">
        <f>A758&amp;"|"&amp;B758</f>
        <v/>
      </c>
      <c r="L758" s="13" t="inlineStr"/>
    </row>
    <row r="759">
      <c r="A759" s="7" t="inlineStr">
        <is>
          <t>sga-2024-9-sn7dluus</t>
        </is>
      </c>
      <c r="B759" s="7" t="n">
        <v>2</v>
      </c>
      <c r="C759" s="7" t="inlineStr">
        <is>
          <t>SGA</t>
        </is>
      </c>
      <c r="D759" s="7" t="inlineStr">
        <is>
          <t>2024</t>
        </is>
      </c>
      <c r="E759" s="7" t="n">
        <v>9</v>
      </c>
      <c r="F759" s="8" t="n">
        <v>45838</v>
      </c>
      <c r="G759" s="7" t="inlineStr">
        <is>
          <t>DANIEL EDUARDO SOTO BERNAL</t>
        </is>
      </c>
      <c r="H759" s="14" t="n">
        <v>1</v>
      </c>
      <c r="I759" s="15">
        <f>IF(H759="","",H759/2)</f>
        <v/>
      </c>
      <c r="J759" s="7">
        <f>IF(H759="",0,IF(SUMPRODUCT((Seguimientos!$A$2:$A$1013=A759)*(Seguimientos!$F$2:$F$1013=F759)*(Seguimientos!$B$2:$B$1013&gt;B759)*(Seguimientos!$H$2:$H$1013&lt;&gt;""))=0,1,0))</f>
        <v/>
      </c>
      <c r="K759" s="7">
        <f>A759&amp;"|"&amp;B759</f>
        <v/>
      </c>
      <c r="L759" s="13" t="inlineStr">
        <is>
          <t>El Sistema de Gestión Ambiental anexa envío de Story Board para inclusión del contenido del SGA en el módulo de bienvenida de Bienestar Universitario. Anexo 13, no se evidencia cronograma de articulación.</t>
        </is>
      </c>
    </row>
    <row r="760">
      <c r="A760" s="7" t="inlineStr">
        <is>
          <t>sga-2024-9-sn7dluus</t>
        </is>
      </c>
      <c r="B760" s="7" t="n">
        <v>3</v>
      </c>
      <c r="C760" s="7" t="inlineStr">
        <is>
          <t>SGA</t>
        </is>
      </c>
      <c r="D760" s="7" t="inlineStr">
        <is>
          <t>2024</t>
        </is>
      </c>
      <c r="E760" s="7" t="n">
        <v>9</v>
      </c>
      <c r="F760" s="8" t="n">
        <v>45930</v>
      </c>
      <c r="G760" s="7" t="inlineStr">
        <is>
          <t>JOAN IMAYINNE GALVIS MORENO</t>
        </is>
      </c>
      <c r="H760" s="14" t="n">
        <v>2</v>
      </c>
      <c r="I760" s="15">
        <f>IF(H760="","",H760/2)</f>
        <v/>
      </c>
      <c r="J760" s="7">
        <f>IF(H760="",0,IF(SUMPRODUCT((Seguimientos!$A$2:$A$1013=A760)*(Seguimientos!$F$2:$F$1013=F760)*(Seguimientos!$B$2:$B$1013&gt;B760)*(Seguimientos!$H$2:$H$1013&lt;&gt;""))=0,1,0))</f>
        <v/>
      </c>
      <c r="K760" s="7">
        <f>A760&amp;"|"&amp;B760</f>
        <v/>
      </c>
      <c r="L760" s="13" t="inlineStr">
        <is>
          <t>El Sistema de Gestión Ambiental anexa envío de Story Board para inclusión del contenido del SGA en el módulo de bienvenida de Bienestar Universitario. Anexo 13, no se evidencia cronograma de articulación.</t>
        </is>
      </c>
    </row>
    <row r="761">
      <c r="A761" s="7" t="inlineStr">
        <is>
          <t>sga-2024-9-sn7dluus</t>
        </is>
      </c>
      <c r="B761" s="7" t="n">
        <v>4</v>
      </c>
      <c r="C761" s="7" t="inlineStr">
        <is>
          <t>SGA</t>
        </is>
      </c>
      <c r="D761" s="7" t="inlineStr">
        <is>
          <t>2024</t>
        </is>
      </c>
      <c r="E761" s="7" t="n">
        <v>9</v>
      </c>
      <c r="F761" s="8" t="n">
        <v>46021</v>
      </c>
      <c r="G761" s="7" t="inlineStr">
        <is>
          <t>JOAN IMAYINNE GALVIS MORENO</t>
        </is>
      </c>
      <c r="H761" s="14" t="n">
        <v>2</v>
      </c>
      <c r="I761" s="15">
        <f>IF(H761="","",H761/2)</f>
        <v/>
      </c>
      <c r="J761" s="7">
        <f>IF(H761="",0,IF(SUMPRODUCT((Seguimientos!$A$2:$A$1013=A761)*(Seguimientos!$F$2:$F$1013=F761)*(Seguimientos!$B$2:$B$1013&gt;B761)*(Seguimientos!$H$2:$H$1013&lt;&gt;""))=0,1,0))</f>
        <v/>
      </c>
      <c r="K761" s="7">
        <f>A761&amp;"|"&amp;B761</f>
        <v/>
      </c>
      <c r="L761" s="13" t="inlineStr">
        <is>
          <t>Se evidencia que la articulación entre el Sistema de Gestión Ambiental y la Dirección de Talento Humano fue efectiva durante la vigencia evaluada, logrando una amplia cobertura institucional y resultados satisfactorios en la apropiación de conocimientos ambientales. No obstante, se recomienda fortalecer las estrategias de formación y acompañamiento en las unidades regionales con menor desempeño, así como mantener el seguimiento periódico para promover la mejora continua y la consolidación de la cultura ambiental institucional.</t>
        </is>
      </c>
    </row>
    <row r="762">
      <c r="A762" s="7" t="inlineStr">
        <is>
          <t>sga-2024-9-sn7dluus</t>
        </is>
      </c>
      <c r="B762" s="7" t="n">
        <v>5</v>
      </c>
      <c r="C762" s="7" t="inlineStr">
        <is>
          <t>SGA</t>
        </is>
      </c>
      <c r="D762" s="7" t="inlineStr">
        <is>
          <t>2024</t>
        </is>
      </c>
      <c r="E762" s="7" t="n">
        <v>9</v>
      </c>
      <c r="F762" s="8" t="n">
        <v>46203</v>
      </c>
      <c r="G762" s="7" t="inlineStr">
        <is>
          <t>JOAN IMAYINNE GALVIS MORENO</t>
        </is>
      </c>
      <c r="H762" s="14" t="n">
        <v>2</v>
      </c>
      <c r="I762" s="15">
        <f>IF(H762="","",H762/2)</f>
        <v/>
      </c>
      <c r="J762" s="7">
        <f>IF(H762="",0,IF(SUMPRODUCT((Seguimientos!$A$2:$A$1013=A762)*(Seguimientos!$F$2:$F$1013=F762)*(Seguimientos!$B$2:$B$1013&gt;B762)*(Seguimientos!$H$2:$H$1013&lt;&gt;""))=0,1,0))</f>
        <v/>
      </c>
      <c r="K762" s="7">
        <f>A762&amp;"|"&amp;B762</f>
        <v/>
      </c>
      <c r="L762" s="13" t="inlineStr">
        <is>
          <t>Actividad cumplida</t>
        </is>
      </c>
    </row>
    <row r="763">
      <c r="A763" s="7" t="inlineStr">
        <is>
          <t>sga-2024-9-sn12enx0</t>
        </is>
      </c>
      <c r="B763" s="7" t="n">
        <v>1</v>
      </c>
      <c r="C763" s="7" t="inlineStr">
        <is>
          <t>SGA</t>
        </is>
      </c>
      <c r="D763" s="7" t="inlineStr">
        <is>
          <t>2024</t>
        </is>
      </c>
      <c r="E763" s="7" t="n">
        <v>9</v>
      </c>
      <c r="F763" s="8" t="n">
        <v>45777</v>
      </c>
      <c r="G763" s="7" t="inlineStr">
        <is>
          <t>DANIEL EDUARDO SOTO BERNAL</t>
        </is>
      </c>
      <c r="H763" s="14" t="n">
        <v>0</v>
      </c>
      <c r="I763" s="15">
        <f>IF(H763="","",H763/2)</f>
        <v/>
      </c>
      <c r="J763" s="7">
        <f>IF(H763="",0,IF(SUMPRODUCT((Seguimientos!$A$2:$A$1013=A763)*(Seguimientos!$F$2:$F$1013=F763)*(Seguimientos!$B$2:$B$1013&gt;B763)*(Seguimientos!$H$2:$H$1013&lt;&gt;""))=0,1,0))</f>
        <v/>
      </c>
      <c r="K763" s="7">
        <f>A763&amp;"|"&amp;B763</f>
        <v/>
      </c>
      <c r="L763" s="13" t="inlineStr"/>
    </row>
    <row r="764">
      <c r="A764" s="7" t="inlineStr">
        <is>
          <t>sga-2024-9-sn12enx0</t>
        </is>
      </c>
      <c r="B764" s="7" t="n">
        <v>2</v>
      </c>
      <c r="C764" s="7" t="inlineStr">
        <is>
          <t>SGA</t>
        </is>
      </c>
      <c r="D764" s="7" t="inlineStr">
        <is>
          <t>2024</t>
        </is>
      </c>
      <c r="E764" s="7" t="n">
        <v>9</v>
      </c>
      <c r="F764" s="8" t="n">
        <v>45838</v>
      </c>
      <c r="G764" s="7" t="inlineStr">
        <is>
          <t>DANIEL EDUARDO SOTO BERNAL</t>
        </is>
      </c>
      <c r="H764" s="14" t="n">
        <v>0</v>
      </c>
      <c r="I764" s="15">
        <f>IF(H764="","",H764/2)</f>
        <v/>
      </c>
      <c r="J764" s="7">
        <f>IF(H764="",0,IF(SUMPRODUCT((Seguimientos!$A$2:$A$1013=A764)*(Seguimientos!$F$2:$F$1013=F764)*(Seguimientos!$B$2:$B$1013&gt;B764)*(Seguimientos!$H$2:$H$1013&lt;&gt;""))=0,1,0))</f>
        <v/>
      </c>
      <c r="K764" s="7">
        <f>A764&amp;"|"&amp;B764</f>
        <v/>
      </c>
      <c r="L764" s="13" t="inlineStr"/>
    </row>
    <row r="765">
      <c r="A765" s="7" t="inlineStr">
        <is>
          <t>sga-2024-9-sn12enx0</t>
        </is>
      </c>
      <c r="B765" s="7" t="n">
        <v>3</v>
      </c>
      <c r="C765" s="7" t="inlineStr">
        <is>
          <t>SGA</t>
        </is>
      </c>
      <c r="D765" s="7" t="inlineStr">
        <is>
          <t>2024</t>
        </is>
      </c>
      <c r="E765" s="7" t="n">
        <v>9</v>
      </c>
      <c r="F765" s="8" t="n">
        <v>45930</v>
      </c>
      <c r="G765" s="7" t="inlineStr">
        <is>
          <t>JOAN IMAYINNE GALVIS MORENO</t>
        </is>
      </c>
      <c r="H765" s="14" t="n">
        <v>2</v>
      </c>
      <c r="I765" s="15">
        <f>IF(H765="","",H765/2)</f>
        <v/>
      </c>
      <c r="J765" s="7">
        <f>IF(H765="",0,IF(SUMPRODUCT((Seguimientos!$A$2:$A$1013=A765)*(Seguimientos!$F$2:$F$1013=F765)*(Seguimientos!$B$2:$B$1013&gt;B765)*(Seguimientos!$H$2:$H$1013&lt;&gt;""))=0,1,0))</f>
        <v/>
      </c>
      <c r="K765" s="7">
        <f>A765&amp;"|"&amp;B765</f>
        <v/>
      </c>
      <c r="L765" s="13" t="inlineStr">
        <is>
          <t>No se identifica listas de asistencia ni registro fotografico del fortalecimiento al proceso</t>
        </is>
      </c>
    </row>
    <row r="766">
      <c r="A766" s="7" t="inlineStr">
        <is>
          <t>sga-2024-9-sn12enx0</t>
        </is>
      </c>
      <c r="B766" s="7" t="n">
        <v>4</v>
      </c>
      <c r="C766" s="7" t="inlineStr">
        <is>
          <t>SGA</t>
        </is>
      </c>
      <c r="D766" s="7" t="inlineStr">
        <is>
          <t>2024</t>
        </is>
      </c>
      <c r="E766" s="7" t="n">
        <v>9</v>
      </c>
      <c r="F766" s="8" t="n">
        <v>46021</v>
      </c>
      <c r="G766" s="7" t="inlineStr">
        <is>
          <t>JOAN IMAYINNE GALVIS MORENO</t>
        </is>
      </c>
      <c r="H766" s="14" t="n">
        <v>2</v>
      </c>
      <c r="I766" s="15">
        <f>IF(H766="","",H766/2)</f>
        <v/>
      </c>
      <c r="J766" s="7">
        <f>IF(H766="",0,IF(SUMPRODUCT((Seguimientos!$A$2:$A$1013=A766)*(Seguimientos!$F$2:$F$1013=F766)*(Seguimientos!$B$2:$B$1013&gt;B766)*(Seguimientos!$H$2:$H$1013&lt;&gt;""))=0,1,0))</f>
        <v/>
      </c>
      <c r="K766" s="7">
        <f>A766&amp;"|"&amp;B766</f>
        <v/>
      </c>
      <c r="L766" s="13" t="inlineStr">
        <is>
          <t>Se evidencia realizacion de capacitaciones y se evidencia registro de asistencia del mismo.</t>
        </is>
      </c>
    </row>
    <row r="767">
      <c r="A767" s="7" t="inlineStr">
        <is>
          <t>sga-2024-9-sn12enx0</t>
        </is>
      </c>
      <c r="B767" s="7" t="n">
        <v>5</v>
      </c>
      <c r="C767" s="7" t="inlineStr">
        <is>
          <t>SGA</t>
        </is>
      </c>
      <c r="D767" s="7" t="inlineStr">
        <is>
          <t>2024</t>
        </is>
      </c>
      <c r="E767" s="7" t="n">
        <v>9</v>
      </c>
      <c r="F767" s="8" t="n">
        <v>46203</v>
      </c>
      <c r="G767" s="7" t="inlineStr">
        <is>
          <t>JOAN IMAYINNE GALVIS MORENO</t>
        </is>
      </c>
      <c r="H767" s="14" t="n">
        <v>2</v>
      </c>
      <c r="I767" s="15">
        <f>IF(H767="","",H767/2)</f>
        <v/>
      </c>
      <c r="J767" s="7">
        <f>IF(H767="",0,IF(SUMPRODUCT((Seguimientos!$A$2:$A$1013=A767)*(Seguimientos!$F$2:$F$1013=F767)*(Seguimientos!$B$2:$B$1013&gt;B767)*(Seguimientos!$H$2:$H$1013&lt;&gt;""))=0,1,0))</f>
        <v/>
      </c>
      <c r="K767" s="7">
        <f>A767&amp;"|"&amp;B767</f>
        <v/>
      </c>
      <c r="L767" s="13" t="inlineStr">
        <is>
          <t>Actividad cumplida</t>
        </is>
      </c>
    </row>
    <row r="768">
      <c r="A768" s="7" t="inlineStr">
        <is>
          <t>sga-2024-9-snym5jj</t>
        </is>
      </c>
      <c r="B768" s="7" t="n">
        <v>1</v>
      </c>
      <c r="C768" s="7" t="inlineStr">
        <is>
          <t>SGA</t>
        </is>
      </c>
      <c r="D768" s="7" t="inlineStr">
        <is>
          <t>2024</t>
        </is>
      </c>
      <c r="E768" s="7" t="n">
        <v>9</v>
      </c>
      <c r="F768" s="8" t="n">
        <v>45777</v>
      </c>
      <c r="G768" s="7" t="inlineStr">
        <is>
          <t>DANIEL EDUARDO SOTO BERNAL</t>
        </is>
      </c>
      <c r="H768" s="14" t="n">
        <v>0</v>
      </c>
      <c r="I768" s="15">
        <f>IF(H768="","",H768/2)</f>
        <v/>
      </c>
      <c r="J768" s="7">
        <f>IF(H768="",0,IF(SUMPRODUCT((Seguimientos!$A$2:$A$1013=A768)*(Seguimientos!$F$2:$F$1013=F768)*(Seguimientos!$B$2:$B$1013&gt;B768)*(Seguimientos!$H$2:$H$1013&lt;&gt;""))=0,1,0))</f>
        <v/>
      </c>
      <c r="K768" s="7">
        <f>A768&amp;"|"&amp;B768</f>
        <v/>
      </c>
      <c r="L768" s="13" t="inlineStr"/>
    </row>
    <row r="769">
      <c r="A769" s="7" t="inlineStr">
        <is>
          <t>sga-2024-9-snym5jj</t>
        </is>
      </c>
      <c r="B769" s="7" t="n">
        <v>2</v>
      </c>
      <c r="C769" s="7" t="inlineStr">
        <is>
          <t>SGA</t>
        </is>
      </c>
      <c r="D769" s="7" t="inlineStr">
        <is>
          <t>2024</t>
        </is>
      </c>
      <c r="E769" s="7" t="n">
        <v>9</v>
      </c>
      <c r="F769" s="8" t="n">
        <v>45838</v>
      </c>
      <c r="G769" s="7" t="inlineStr">
        <is>
          <t>DANIEL EDUARDO SOTO BERNAL</t>
        </is>
      </c>
      <c r="H769" s="14" t="n">
        <v>0</v>
      </c>
      <c r="I769" s="15">
        <f>IF(H769="","",H769/2)</f>
        <v/>
      </c>
      <c r="J769" s="7">
        <f>IF(H769="",0,IF(SUMPRODUCT((Seguimientos!$A$2:$A$1013=A769)*(Seguimientos!$F$2:$F$1013=F769)*(Seguimientos!$B$2:$B$1013&gt;B769)*(Seguimientos!$H$2:$H$1013&lt;&gt;""))=0,1,0))</f>
        <v/>
      </c>
      <c r="K769" s="7">
        <f>A769&amp;"|"&amp;B769</f>
        <v/>
      </c>
      <c r="L769" s="13" t="inlineStr"/>
    </row>
    <row r="770">
      <c r="A770" s="7" t="inlineStr">
        <is>
          <t>sga-2024-9-snym5jj</t>
        </is>
      </c>
      <c r="B770" s="7" t="n">
        <v>3</v>
      </c>
      <c r="C770" s="7" t="inlineStr">
        <is>
          <t>SGA</t>
        </is>
      </c>
      <c r="D770" s="7" t="inlineStr">
        <is>
          <t>2024</t>
        </is>
      </c>
      <c r="E770" s="7" t="n">
        <v>9</v>
      </c>
      <c r="F770" s="8" t="n">
        <v>45930</v>
      </c>
      <c r="G770" s="7" t="inlineStr">
        <is>
          <t>JOAN IMAYINNE GALVIS MORENO</t>
        </is>
      </c>
      <c r="H770" s="14" t="n">
        <v>0</v>
      </c>
      <c r="I770" s="15">
        <f>IF(H770="","",H770/2)</f>
        <v/>
      </c>
      <c r="J770" s="7">
        <f>IF(H770="",0,IF(SUMPRODUCT((Seguimientos!$A$2:$A$1013=A770)*(Seguimientos!$F$2:$F$1013=F770)*(Seguimientos!$B$2:$B$1013&gt;B770)*(Seguimientos!$H$2:$H$1013&lt;&gt;""))=0,1,0))</f>
        <v/>
      </c>
      <c r="K770" s="7">
        <f>A770&amp;"|"&amp;B770</f>
        <v/>
      </c>
      <c r="L770" s="13" t="inlineStr">
        <is>
          <t>No se identifica resultados de eficacia de la actividad</t>
        </is>
      </c>
    </row>
    <row r="771">
      <c r="A771" s="7" t="inlineStr">
        <is>
          <t>sga-2024-9-snym5jj</t>
        </is>
      </c>
      <c r="B771" s="7" t="n">
        <v>4</v>
      </c>
      <c r="C771" s="7" t="inlineStr">
        <is>
          <t>SGA</t>
        </is>
      </c>
      <c r="D771" s="7" t="inlineStr">
        <is>
          <t>2024</t>
        </is>
      </c>
      <c r="E771" s="7" t="n">
        <v>9</v>
      </c>
      <c r="F771" s="8" t="n">
        <v>46021</v>
      </c>
      <c r="G771" s="7" t="inlineStr">
        <is>
          <t>JOAN IMAYINNE GALVIS MORENO</t>
        </is>
      </c>
      <c r="H771" s="14" t="n">
        <v>2</v>
      </c>
      <c r="I771" s="15">
        <f>IF(H771="","",H771/2)</f>
        <v/>
      </c>
      <c r="J771" s="7">
        <f>IF(H771="",0,IF(SUMPRODUCT((Seguimientos!$A$2:$A$1013=A771)*(Seguimientos!$F$2:$F$1013=F771)*(Seguimientos!$B$2:$B$1013&gt;B771)*(Seguimientos!$H$2:$H$1013&lt;&gt;""))=0,1,0))</f>
        <v/>
      </c>
      <c r="K771" s="7">
        <f>A771&amp;"|"&amp;B771</f>
        <v/>
      </c>
      <c r="L771" s="13" t="inlineStr">
        <is>
          <t>Se evidencia que la articulación entre el Sistema de Gestión Ambiental y la Dirección de Talento Humano fue efectiva durante la vigencia evaluada, logrando una amplia cobertura institucional y resultados satisfactorios en la apropiación de conocimientos ambientales. No obstante, se recomienda fortalecer las estrategias de formación y acompañamiento en las unidades regionales con menor desempeño, así como mantener el seguimiento periódico para promover la mejora continua y la consolidación de la cultura ambiental institucional.</t>
        </is>
      </c>
    </row>
    <row r="772">
      <c r="A772" s="7" t="inlineStr">
        <is>
          <t>sga-2024-9-snym5jj</t>
        </is>
      </c>
      <c r="B772" s="7" t="n">
        <v>5</v>
      </c>
      <c r="C772" s="7" t="inlineStr">
        <is>
          <t>SGA</t>
        </is>
      </c>
      <c r="D772" s="7" t="inlineStr">
        <is>
          <t>2024</t>
        </is>
      </c>
      <c r="E772" s="7" t="n">
        <v>9</v>
      </c>
      <c r="F772" s="8" t="n">
        <v>46203</v>
      </c>
      <c r="G772" s="7" t="inlineStr">
        <is>
          <t>JOAN IMAYINNE GALVIS MORENO</t>
        </is>
      </c>
      <c r="H772" s="14" t="n">
        <v>2</v>
      </c>
      <c r="I772" s="15">
        <f>IF(H772="","",H772/2)</f>
        <v/>
      </c>
      <c r="J772" s="7">
        <f>IF(H772="",0,IF(SUMPRODUCT((Seguimientos!$A$2:$A$1013=A772)*(Seguimientos!$F$2:$F$1013=F772)*(Seguimientos!$B$2:$B$1013&gt;B772)*(Seguimientos!$H$2:$H$1013&lt;&gt;""))=0,1,0))</f>
        <v/>
      </c>
      <c r="K772" s="7">
        <f>A772&amp;"|"&amp;B772</f>
        <v/>
      </c>
      <c r="L772" s="13" t="inlineStr">
        <is>
          <t>Actividad cumplida</t>
        </is>
      </c>
    </row>
    <row r="773">
      <c r="A773" s="7" t="inlineStr">
        <is>
          <t>sga-2024-10</t>
        </is>
      </c>
      <c r="B773" s="7" t="n">
        <v>1</v>
      </c>
      <c r="C773" s="7" t="inlineStr">
        <is>
          <t>SGA</t>
        </is>
      </c>
      <c r="D773" s="7" t="inlineStr">
        <is>
          <t>2024</t>
        </is>
      </c>
      <c r="E773" s="7" t="n">
        <v>10</v>
      </c>
      <c r="F773" s="8" t="n">
        <v>45777</v>
      </c>
      <c r="G773" s="7" t="inlineStr">
        <is>
          <t>DANIEL EDUARDO SOTO BERNAL</t>
        </is>
      </c>
      <c r="H773" s="14" t="n">
        <v>0</v>
      </c>
      <c r="I773" s="15">
        <f>IF(H773="","",H773/2)</f>
        <v/>
      </c>
      <c r="J773" s="7">
        <f>IF(H773="",0,IF(SUMPRODUCT((Seguimientos!$A$2:$A$1013=A773)*(Seguimientos!$F$2:$F$1013=F773)*(Seguimientos!$B$2:$B$1013&gt;B773)*(Seguimientos!$H$2:$H$1013&lt;&gt;""))=0,1,0))</f>
        <v/>
      </c>
      <c r="K773" s="7">
        <f>A773&amp;"|"&amp;B773</f>
        <v/>
      </c>
      <c r="L773" s="13" t="inlineStr"/>
    </row>
    <row r="774">
      <c r="A774" s="7" t="inlineStr">
        <is>
          <t>sga-2024-10</t>
        </is>
      </c>
      <c r="B774" s="7" t="n">
        <v>2</v>
      </c>
      <c r="C774" s="7" t="inlineStr">
        <is>
          <t>SGA</t>
        </is>
      </c>
      <c r="D774" s="7" t="inlineStr">
        <is>
          <t>2024</t>
        </is>
      </c>
      <c r="E774" s="7" t="n">
        <v>10</v>
      </c>
      <c r="F774" s="8" t="n">
        <v>45838</v>
      </c>
      <c r="G774" s="7" t="inlineStr">
        <is>
          <t>DANIEL EDUARDO SOTO BERNAL</t>
        </is>
      </c>
      <c r="H774" s="14" t="n">
        <v>0</v>
      </c>
      <c r="I774" s="15">
        <f>IF(H774="","",H774/2)</f>
        <v/>
      </c>
      <c r="J774" s="7">
        <f>IF(H774="",0,IF(SUMPRODUCT((Seguimientos!$A$2:$A$1013=A774)*(Seguimientos!$F$2:$F$1013=F774)*(Seguimientos!$B$2:$B$1013&gt;B774)*(Seguimientos!$H$2:$H$1013&lt;&gt;""))=0,1,0))</f>
        <v/>
      </c>
      <c r="K774" s="7">
        <f>A774&amp;"|"&amp;B774</f>
        <v/>
      </c>
      <c r="L774" s="13" t="inlineStr"/>
    </row>
    <row r="775">
      <c r="A775" s="7" t="inlineStr">
        <is>
          <t>sga-2024-10</t>
        </is>
      </c>
      <c r="B775" s="7" t="n">
        <v>3</v>
      </c>
      <c r="C775" s="7" t="inlineStr">
        <is>
          <t>SGA</t>
        </is>
      </c>
      <c r="D775" s="7" t="inlineStr">
        <is>
          <t>2024</t>
        </is>
      </c>
      <c r="E775" s="7" t="n">
        <v>10</v>
      </c>
      <c r="F775" s="8" t="n">
        <v>45930</v>
      </c>
      <c r="G775" s="7" t="inlineStr">
        <is>
          <t>JOAN IMAYINNE GALVIS MORENO</t>
        </is>
      </c>
      <c r="H775" s="14" t="n">
        <v>1</v>
      </c>
      <c r="I775" s="15">
        <f>IF(H775="","",H775/2)</f>
        <v/>
      </c>
      <c r="J775" s="7">
        <f>IF(H775="",0,IF(SUMPRODUCT((Seguimientos!$A$2:$A$1013=A775)*(Seguimientos!$F$2:$F$1013=F775)*(Seguimientos!$B$2:$B$1013&gt;B775)*(Seguimientos!$H$2:$H$1013&lt;&gt;""))=0,1,0))</f>
        <v/>
      </c>
      <c r="K775" s="7">
        <f>A775&amp;"|"&amp;B775</f>
        <v/>
      </c>
      <c r="L775" s="13" t="inlineStr">
        <is>
          <t>El sistema de Gestion Ambiental remite un listado de lainversion de los recursos evidenciando un 64% de implementacion. Sin embargo no se conoce la totalidad de la ejecucion hasta el momento.</t>
        </is>
      </c>
    </row>
    <row r="776">
      <c r="A776" s="7" t="inlineStr">
        <is>
          <t>sga-2024-10</t>
        </is>
      </c>
      <c r="B776" s="7" t="n">
        <v>4</v>
      </c>
      <c r="C776" s="7" t="inlineStr">
        <is>
          <t>SGA</t>
        </is>
      </c>
      <c r="D776" s="7" t="inlineStr">
        <is>
          <t>2024</t>
        </is>
      </c>
      <c r="E776" s="7" t="n">
        <v>10</v>
      </c>
      <c r="F776" s="8" t="n">
        <v>46021</v>
      </c>
      <c r="G776" s="7" t="inlineStr">
        <is>
          <t>JOAN IMAYINNE GALVIS MORENO</t>
        </is>
      </c>
      <c r="H776" s="14" t="n">
        <v>1</v>
      </c>
      <c r="I776" s="15">
        <f>IF(H776="","",H776/2)</f>
        <v/>
      </c>
      <c r="J776" s="7">
        <f>IF(H776="",0,IF(SUMPRODUCT((Seguimientos!$A$2:$A$1013=A776)*(Seguimientos!$F$2:$F$1013=F776)*(Seguimientos!$B$2:$B$1013&gt;B776)*(Seguimientos!$H$2:$H$1013&lt;&gt;""))=0,1,0))</f>
        <v/>
      </c>
      <c r="K776" s="7">
        <f>A776&amp;"|"&amp;B776</f>
        <v/>
      </c>
      <c r="L776" s="13" t="inlineStr">
        <is>
          <t>En términos generales, la ejecución presupuestal del SGA para la vigencia 2025 muestra un desempeño favorable del 99% sin embargo seria bueno detallar si se ejecuto lo planteado en la actividad</t>
        </is>
      </c>
    </row>
    <row r="777">
      <c r="A777" s="7" t="inlineStr">
        <is>
          <t>sga-2024-10</t>
        </is>
      </c>
      <c r="B777" s="7" t="n">
        <v>5</v>
      </c>
      <c r="C777" s="7" t="inlineStr">
        <is>
          <t>SGA</t>
        </is>
      </c>
      <c r="D777" s="7" t="inlineStr">
        <is>
          <t>2024</t>
        </is>
      </c>
      <c r="E777" s="7" t="n">
        <v>10</v>
      </c>
      <c r="F777" s="8" t="n">
        <v>46203</v>
      </c>
      <c r="G777" s="7" t="inlineStr">
        <is>
          <t>JOAN IMAYINNE GALVIS MORENO</t>
        </is>
      </c>
      <c r="H777" s="14" t="n">
        <v>1</v>
      </c>
      <c r="I777" s="15">
        <f>IF(H777="","",H777/2)</f>
        <v/>
      </c>
      <c r="J777" s="7">
        <f>IF(H777="",0,IF(SUMPRODUCT((Seguimientos!$A$2:$A$1013=A777)*(Seguimientos!$F$2:$F$1013=F777)*(Seguimientos!$B$2:$B$1013&gt;B777)*(Seguimientos!$H$2:$H$1013&lt;&gt;""))=0,1,0))</f>
        <v/>
      </c>
      <c r="K777" s="7">
        <f>A777&amp;"|"&amp;B777</f>
        <v/>
      </c>
      <c r="L777" s="13" t="inlineStr">
        <is>
          <t>En términos generales, la ejecución presupuestal del SGA para la vigencia 2025 muestra un desempeño favorable del 99% sin embargo seria bueno detallar si se ejecuto lo planteado en la actividad</t>
        </is>
      </c>
    </row>
    <row r="778">
      <c r="A778" s="7" t="inlineStr">
        <is>
          <t>sga-2025-1</t>
        </is>
      </c>
      <c r="B778" s="7" t="n">
        <v>1</v>
      </c>
      <c r="C778" s="7" t="inlineStr">
        <is>
          <t>SGA</t>
        </is>
      </c>
      <c r="D778" s="7" t="inlineStr">
        <is>
          <t>2025</t>
        </is>
      </c>
      <c r="E778" s="7" t="n">
        <v>1</v>
      </c>
      <c r="F778" s="8" t="n">
        <v>46203</v>
      </c>
      <c r="G778" s="7" t="inlineStr">
        <is>
          <t>Sin registrar</t>
        </is>
      </c>
      <c r="H778" s="14" t="n">
        <v>0</v>
      </c>
      <c r="I778" s="15">
        <f>IF(H778="","",H778/2)</f>
        <v/>
      </c>
      <c r="J778" s="7">
        <f>IF(H778="",0,IF(SUMPRODUCT((Seguimientos!$A$2:$A$1013=A778)*(Seguimientos!$F$2:$F$1013=F778)*(Seguimientos!$B$2:$B$1013&gt;B778)*(Seguimientos!$H$2:$H$1013&lt;&gt;""))=0,1,0))</f>
        <v/>
      </c>
      <c r="K778" s="7">
        <f>A778&amp;"|"&amp;B778</f>
        <v/>
      </c>
      <c r="L778" s="13" t="inlineStr"/>
    </row>
    <row r="779">
      <c r="A779" s="7" t="inlineStr">
        <is>
          <t>sga-2025-1</t>
        </is>
      </c>
      <c r="B779" s="7" t="n">
        <v>2</v>
      </c>
      <c r="C779" s="7" t="inlineStr">
        <is>
          <t>SGA</t>
        </is>
      </c>
      <c r="D779" s="7" t="inlineStr">
        <is>
          <t>2025</t>
        </is>
      </c>
      <c r="E779" s="7" t="n">
        <v>1</v>
      </c>
      <c r="F779" s="8" t="n">
        <v>46295</v>
      </c>
      <c r="G779" s="7" t="inlineStr">
        <is>
          <t>Sin registrar</t>
        </is>
      </c>
      <c r="H779" s="14" t="n">
        <v>1</v>
      </c>
      <c r="I779" s="15">
        <f>IF(H779="","",H779/2)</f>
        <v/>
      </c>
      <c r="J779" s="7">
        <f>IF(H779="",0,IF(SUMPRODUCT((Seguimientos!$A$2:$A$1013=A779)*(Seguimientos!$F$2:$F$1013=F779)*(Seguimientos!$B$2:$B$1013&gt;B779)*(Seguimientos!$H$2:$H$1013&lt;&gt;""))=0,1,0))</f>
        <v/>
      </c>
      <c r="K779" s="7">
        <f>A779&amp;"|"&amp;B779</f>
        <v/>
      </c>
      <c r="L779" s="13" t="inlineStr">
        <is>
          <t>Se avanzó en la articulación del Sistema de Gestión Ambiental (SGA) con el PEI y los planes de acción, mediante la entrega de insumos técnicos y pedagógicos para el CAI Cuidando la naturaleza y el desarrollo de experiencias de aprendizaje sobre sostenibilidad y cambio climático. Asimismo, se propuso integrar los programas del PIGA en las rutas de aprendizaje y fortalecer las competencias ambientales de los gestores del conocimiento, como base para la posterior validación académica e incorporación de estas iniciativas en la planeación institucional. De acuerdo a la informacion suministrada falta que este documento este aprobado.</t>
        </is>
      </c>
    </row>
    <row r="780">
      <c r="A780" s="7" t="inlineStr">
        <is>
          <t>sga-2025-2</t>
        </is>
      </c>
      <c r="B780" s="7" t="n">
        <v>1</v>
      </c>
      <c r="C780" s="7" t="inlineStr">
        <is>
          <t>SGA</t>
        </is>
      </c>
      <c r="D780" s="7" t="inlineStr">
        <is>
          <t>2025</t>
        </is>
      </c>
      <c r="E780" s="7" t="n">
        <v>2</v>
      </c>
      <c r="F780" s="8" t="n">
        <v>46203</v>
      </c>
      <c r="G780" s="7" t="inlineStr">
        <is>
          <t>Sin registrar</t>
        </is>
      </c>
      <c r="H780" s="14" t="n">
        <v>0</v>
      </c>
      <c r="I780" s="15">
        <f>IF(H780="","",H780/2)</f>
        <v/>
      </c>
      <c r="J780" s="7">
        <f>IF(H780="",0,IF(SUMPRODUCT((Seguimientos!$A$2:$A$1013=A780)*(Seguimientos!$F$2:$F$1013=F780)*(Seguimientos!$B$2:$B$1013&gt;B780)*(Seguimientos!$H$2:$H$1013&lt;&gt;""))=0,1,0))</f>
        <v/>
      </c>
      <c r="K780" s="7">
        <f>A780&amp;"|"&amp;B780</f>
        <v/>
      </c>
      <c r="L780" s="13" t="inlineStr"/>
    </row>
    <row r="781">
      <c r="A781" s="7" t="inlineStr">
        <is>
          <t>sga-2025-2</t>
        </is>
      </c>
      <c r="B781" s="7" t="n">
        <v>2</v>
      </c>
      <c r="C781" s="7" t="inlineStr">
        <is>
          <t>SGA</t>
        </is>
      </c>
      <c r="D781" s="7" t="inlineStr">
        <is>
          <t>2025</t>
        </is>
      </c>
      <c r="E781" s="7" t="n">
        <v>2</v>
      </c>
      <c r="F781" s="8" t="n">
        <v>46295</v>
      </c>
      <c r="G781" s="7" t="inlineStr">
        <is>
          <t>Sin registrar</t>
        </is>
      </c>
      <c r="H781" s="14" t="n">
        <v>2</v>
      </c>
      <c r="I781" s="15">
        <f>IF(H781="","",H781/2)</f>
        <v/>
      </c>
      <c r="J781" s="7">
        <f>IF(H781="",0,IF(SUMPRODUCT((Seguimientos!$A$2:$A$1013=A781)*(Seguimientos!$F$2:$F$1013=F781)*(Seguimientos!$B$2:$B$1013&gt;B781)*(Seguimientos!$H$2:$H$1013&lt;&gt;""))=0,1,0))</f>
        <v/>
      </c>
      <c r="K781" s="7">
        <f>A781&amp;"|"&amp;B781</f>
        <v/>
      </c>
      <c r="L781" s="13" t="inlineStr">
        <is>
          <t>Se implementó un tablero de control en Power BI para el seguimiento de los indicadores del SGA, consolidando información de 2022 a 2025 sobre consumo de agua y energía, generación de residuos y migración a dispositivos ahorradores. La herramienta permite consultar y comparar la información por año y unidad regional, facilitando el análisis de tendencias y oportunidades de mejora del PIGA. El tablero, actualizado al 17 de julio de 2026, constituye evidencia de la implementación de la actividad.</t>
        </is>
      </c>
    </row>
    <row r="782">
      <c r="A782" s="7" t="inlineStr">
        <is>
          <t>sga-2025-3</t>
        </is>
      </c>
      <c r="B782" s="7" t="n">
        <v>1</v>
      </c>
      <c r="C782" s="7" t="inlineStr">
        <is>
          <t>SGA</t>
        </is>
      </c>
      <c r="D782" s="7" t="inlineStr">
        <is>
          <t>2025</t>
        </is>
      </c>
      <c r="E782" s="7" t="n">
        <v>3</v>
      </c>
      <c r="F782" s="8" t="n">
        <v>46203</v>
      </c>
      <c r="G782" s="7" t="inlineStr">
        <is>
          <t>Sin registrar</t>
        </is>
      </c>
      <c r="H782" s="14" t="n">
        <v>0</v>
      </c>
      <c r="I782" s="15">
        <f>IF(H782="","",H782/2)</f>
        <v/>
      </c>
      <c r="J782" s="7">
        <f>IF(H782="",0,IF(SUMPRODUCT((Seguimientos!$A$2:$A$1013=A782)*(Seguimientos!$F$2:$F$1013=F782)*(Seguimientos!$B$2:$B$1013&gt;B782)*(Seguimientos!$H$2:$H$1013&lt;&gt;""))=0,1,0))</f>
        <v/>
      </c>
      <c r="K782" s="7">
        <f>A782&amp;"|"&amp;B782</f>
        <v/>
      </c>
      <c r="L782" s="13" t="inlineStr"/>
    </row>
    <row r="783">
      <c r="A783" s="7" t="inlineStr">
        <is>
          <t>sga-2025-3</t>
        </is>
      </c>
      <c r="B783" s="7" t="n">
        <v>2</v>
      </c>
      <c r="C783" s="7" t="inlineStr">
        <is>
          <t>SGA</t>
        </is>
      </c>
      <c r="D783" s="7" t="inlineStr">
        <is>
          <t>2025</t>
        </is>
      </c>
      <c r="E783" s="7" t="n">
        <v>3</v>
      </c>
      <c r="F783" s="8" t="n">
        <v>46295</v>
      </c>
      <c r="G783" s="7" t="inlineStr">
        <is>
          <t>Sin registrar</t>
        </is>
      </c>
      <c r="H783" s="14" t="n">
        <v>2</v>
      </c>
      <c r="I783" s="15">
        <f>IF(H783="","",H783/2)</f>
        <v/>
      </c>
      <c r="J783" s="7">
        <f>IF(H783="",0,IF(SUMPRODUCT((Seguimientos!$A$2:$A$1013=A783)*(Seguimientos!$F$2:$F$1013=F783)*(Seguimientos!$B$2:$B$1013&gt;B783)*(Seguimientos!$H$2:$H$1013&lt;&gt;""))=0,1,0))</f>
        <v/>
      </c>
      <c r="K783" s="7">
        <f>A783&amp;"|"&amp;B783</f>
        <v/>
      </c>
      <c r="L783" s="13" t="inlineStr">
        <is>
          <t>Se consolidaron las Matrices de Aspectos e Impactos Ambientales (AIA) por proceso, fortaleciendo la identificación, valoración y control de los impactos ambientales asociados a las actividades institucionales. Asimismo, las matrices actualizadas se encuentran publicadas en el MOD, como evidencia de la implementación de la actividad.</t>
        </is>
      </c>
    </row>
    <row r="784">
      <c r="A784" s="7" t="inlineStr">
        <is>
          <t>sga-2025-4</t>
        </is>
      </c>
      <c r="B784" s="7" t="n">
        <v>1</v>
      </c>
      <c r="C784" s="7" t="inlineStr">
        <is>
          <t>SGA</t>
        </is>
      </c>
      <c r="D784" s="7" t="inlineStr">
        <is>
          <t>2025</t>
        </is>
      </c>
      <c r="E784" s="7" t="n">
        <v>4</v>
      </c>
      <c r="F784" s="8" t="n">
        <v>46203</v>
      </c>
      <c r="G784" s="7" t="inlineStr">
        <is>
          <t>Sin registrar</t>
        </is>
      </c>
      <c r="H784" s="14" t="n">
        <v>2</v>
      </c>
      <c r="I784" s="15">
        <f>IF(H784="","",H784/2)</f>
        <v/>
      </c>
      <c r="J784" s="7">
        <f>IF(H784="",0,IF(SUMPRODUCT((Seguimientos!$A$2:$A$1013=A784)*(Seguimientos!$F$2:$F$1013=F784)*(Seguimientos!$B$2:$B$1013&gt;B784)*(Seguimientos!$H$2:$H$1013&lt;&gt;""))=0,1,0))</f>
        <v/>
      </c>
      <c r="K784" s="7">
        <f>A784&amp;"|"&amp;B784</f>
        <v/>
      </c>
      <c r="L784" s="13" t="inlineStr">
        <is>
          <t>Se identifica informe en donde se realiza revision por la empresa GreenMetric, donde se identifican los diferentes inventarios de infraestructura ambiental que tiene la Universidad de Cundinamarca por unidad regional.</t>
        </is>
      </c>
    </row>
    <row r="785">
      <c r="A785" s="7" t="inlineStr">
        <is>
          <t>sga-2025-4</t>
        </is>
      </c>
      <c r="B785" s="7" t="n">
        <v>2</v>
      </c>
      <c r="C785" s="7" t="inlineStr">
        <is>
          <t>SGA</t>
        </is>
      </c>
      <c r="D785" s="7" t="inlineStr">
        <is>
          <t>2025</t>
        </is>
      </c>
      <c r="E785" s="7" t="n">
        <v>4</v>
      </c>
      <c r="F785" s="8" t="n">
        <v>46295</v>
      </c>
      <c r="G785" s="7" t="inlineStr">
        <is>
          <t>Sin registrar</t>
        </is>
      </c>
      <c r="H785" s="14" t="n">
        <v>2</v>
      </c>
      <c r="I785" s="15">
        <f>IF(H785="","",H785/2)</f>
        <v/>
      </c>
      <c r="J785" s="7">
        <f>IF(H785="",0,IF(SUMPRODUCT((Seguimientos!$A$2:$A$1013=A785)*(Seguimientos!$F$2:$F$1013=F785)*(Seguimientos!$B$2:$B$1013&gt;B785)*(Seguimientos!$H$2:$H$1013&lt;&gt;""))=0,1,0))</f>
        <v/>
      </c>
      <c r="K785" s="7">
        <f>A785&amp;"|"&amp;B785</f>
        <v/>
      </c>
      <c r="L785" s="13" t="inlineStr">
        <is>
          <t>CUMPLIDA</t>
        </is>
      </c>
    </row>
    <row r="786">
      <c r="A786" s="7" t="inlineStr">
        <is>
          <t>sga-2025-5</t>
        </is>
      </c>
      <c r="B786" s="7" t="n">
        <v>1</v>
      </c>
      <c r="C786" s="7" t="inlineStr">
        <is>
          <t>SGA</t>
        </is>
      </c>
      <c r="D786" s="7" t="inlineStr">
        <is>
          <t>2025</t>
        </is>
      </c>
      <c r="E786" s="7" t="n">
        <v>5</v>
      </c>
      <c r="F786" s="8" t="n">
        <v>46203</v>
      </c>
      <c r="G786" s="7" t="inlineStr">
        <is>
          <t>Sin registrar</t>
        </is>
      </c>
      <c r="H786" s="14" t="n">
        <v>0</v>
      </c>
      <c r="I786" s="15">
        <f>IF(H786="","",H786/2)</f>
        <v/>
      </c>
      <c r="J786" s="7">
        <f>IF(H786="",0,IF(SUMPRODUCT((Seguimientos!$A$2:$A$1013=A786)*(Seguimientos!$F$2:$F$1013=F786)*(Seguimientos!$B$2:$B$1013&gt;B786)*(Seguimientos!$H$2:$H$1013&lt;&gt;""))=0,1,0))</f>
        <v/>
      </c>
      <c r="K786" s="7">
        <f>A786&amp;"|"&amp;B786</f>
        <v/>
      </c>
      <c r="L786" s="13" t="inlineStr"/>
    </row>
    <row r="787">
      <c r="A787" s="7" t="inlineStr">
        <is>
          <t>sga-2025-5</t>
        </is>
      </c>
      <c r="B787" s="7" t="n">
        <v>2</v>
      </c>
      <c r="C787" s="7" t="inlineStr">
        <is>
          <t>SGA</t>
        </is>
      </c>
      <c r="D787" s="7" t="inlineStr">
        <is>
          <t>2025</t>
        </is>
      </c>
      <c r="E787" s="7" t="n">
        <v>5</v>
      </c>
      <c r="F787" s="8" t="n">
        <v>46295</v>
      </c>
      <c r="G787" s="7" t="inlineStr">
        <is>
          <t>Sin registrar</t>
        </is>
      </c>
      <c r="H787" s="14" t="n">
        <v>2</v>
      </c>
      <c r="I787" s="15">
        <f>IF(H787="","",H787/2)</f>
        <v/>
      </c>
      <c r="J787" s="7">
        <f>IF(H787="",0,IF(SUMPRODUCT((Seguimientos!$A$2:$A$1013=A787)*(Seguimientos!$F$2:$F$1013=F787)*(Seguimientos!$B$2:$B$1013&gt;B787)*(Seguimientos!$H$2:$H$1013&lt;&gt;""))=0,1,0))</f>
        <v/>
      </c>
      <c r="K787" s="7">
        <f>A787&amp;"|"&amp;B787</f>
        <v/>
      </c>
      <c r="L787" s="13" t="inlineStr">
        <is>
          <t>Se fortaleció el recurso humano del Sistema de Gestión Ambiental mediante procesos de formación y actualización técnica durante 2026, incluyendo cursos sobre gestión del agua, cambio climático, riesgo hídrico y proyectos sostenibles. Asimismo, se participó en capacitaciones relacionadas con RETC, residuos peligrosos, residuos cortopunzantes y separación de residuos, fortaleciendo las competencias necesarias para la implementación de los programas del PIGA y la gestión de riesgos ambientales.</t>
        </is>
      </c>
    </row>
    <row r="788">
      <c r="A788" s="7" t="inlineStr">
        <is>
          <t>sgsst-2023-1</t>
        </is>
      </c>
      <c r="B788" s="7" t="n">
        <v>1</v>
      </c>
      <c r="C788" s="7" t="inlineStr">
        <is>
          <t>SG-SST</t>
        </is>
      </c>
      <c r="D788" s="7" t="inlineStr">
        <is>
          <t>2023</t>
        </is>
      </c>
      <c r="E788" s="7" t="n">
        <v>1</v>
      </c>
      <c r="F788" s="8" t="n">
        <v>45405</v>
      </c>
      <c r="G788" s="7" t="inlineStr">
        <is>
          <t>DANIEL EDUARDO SOTO BERNAL</t>
        </is>
      </c>
      <c r="H788" s="14" t="n">
        <v>1</v>
      </c>
      <c r="I788" s="15">
        <f>IF(H788="","",H788/2)</f>
        <v/>
      </c>
      <c r="J788" s="7">
        <f>IF(H788="",0,IF(SUMPRODUCT((Seguimientos!$A$2:$A$1013=A788)*(Seguimientos!$F$2:$F$1013=F788)*(Seguimientos!$B$2:$B$1013&gt;B788)*(Seguimientos!$H$2:$H$1013&lt;&gt;""))=0,1,0))</f>
        <v/>
      </c>
      <c r="K788" s="7">
        <f>A788&amp;"|"&amp;B788</f>
        <v/>
      </c>
      <c r="L788" s="13" t="inlineStr">
        <is>
          <t>El día 22 de marzo se envió la política a la dirección jurídica para revisión y visto bueno, el día 2/04/2024 nos dieron respuesta de jurídica para realizar otros ajustes en donde ya se están validando para firma.</t>
        </is>
      </c>
    </row>
    <row r="789">
      <c r="A789" s="7" t="inlineStr">
        <is>
          <t>sgsst-2023-1</t>
        </is>
      </c>
      <c r="B789" s="7" t="n">
        <v>2</v>
      </c>
      <c r="C789" s="7" t="inlineStr">
        <is>
          <t>SG-SST</t>
        </is>
      </c>
      <c r="D789" s="7" t="inlineStr">
        <is>
          <t>2023</t>
        </is>
      </c>
      <c r="E789" s="7" t="n">
        <v>1</v>
      </c>
      <c r="F789" s="8" t="n">
        <v>45497</v>
      </c>
      <c r="G789" s="7" t="inlineStr">
        <is>
          <t>DANIEL EDUARDO SOTO BERNAL</t>
        </is>
      </c>
      <c r="H789" s="14" t="n">
        <v>1</v>
      </c>
      <c r="I789" s="15">
        <f>IF(H789="","",H789/2)</f>
        <v/>
      </c>
      <c r="J789" s="7">
        <f>IF(H789="",0,IF(SUMPRODUCT((Seguimientos!$A$2:$A$1013=A789)*(Seguimientos!$F$2:$F$1013=F789)*(Seguimientos!$B$2:$B$1013&gt;B789)*(Seguimientos!$H$2:$H$1013&lt;&gt;""))=0,1,0))</f>
        <v/>
      </c>
      <c r="K789" s="7">
        <f>A789&amp;"|"&amp;B789</f>
        <v/>
      </c>
      <c r="L789" s="13" t="inlineStr"/>
    </row>
    <row r="790">
      <c r="A790" s="7" t="inlineStr">
        <is>
          <t>sgsst-2023-1</t>
        </is>
      </c>
      <c r="B790" s="7" t="n">
        <v>3</v>
      </c>
      <c r="C790" s="7" t="inlineStr">
        <is>
          <t>SG-SST</t>
        </is>
      </c>
      <c r="D790" s="7" t="inlineStr">
        <is>
          <t>2023</t>
        </is>
      </c>
      <c r="E790" s="7" t="n">
        <v>1</v>
      </c>
      <c r="F790" s="8" t="n">
        <v>45583</v>
      </c>
      <c r="G790" s="7" t="inlineStr">
        <is>
          <t>DANIEL EDUARDO SOTO BERNAL</t>
        </is>
      </c>
      <c r="H790" s="14" t="n">
        <v>1</v>
      </c>
      <c r="I790" s="15">
        <f>IF(H790="","",H790/2)</f>
        <v/>
      </c>
      <c r="J790" s="7">
        <f>IF(H790="",0,IF(SUMPRODUCT((Seguimientos!$A$2:$A$1013=A790)*(Seguimientos!$F$2:$F$1013=F790)*(Seguimientos!$B$2:$B$1013&gt;B790)*(Seguimientos!$H$2:$H$1013&lt;&gt;""))=0,1,0))</f>
        <v/>
      </c>
      <c r="K790" s="7">
        <f>A790&amp;"|"&amp;B790</f>
        <v/>
      </c>
      <c r="L790" s="13" t="inlineStr">
        <is>
          <t>Los lineamientos se deben presentar en el SAC y la fecha de proyección de la reunión del comité según indicación por el área de planeación se tiene programada para la fecha tentativa día 5 de diciembre 2024 sesión ordinaria. Según el archivo adjunto los lineamientos de SG-SST ya fueron aprobados por la comision de gestión. "De conformidad con la decisión de los miembros de la Comisión de Gestión en sesión ordinaria llevada a cabo el 27 de agosto de 2024, formalmente me permito hacer saber que, "Los miembros de la Comisión de Gestión aprobaron por unanimidad, que se presente ante el Comité SAC la Resolución “Por la cual se actualizan y unifican los lineamientos, objetivos y alcance del Sistema de Gestión de Seguridad y Salud en el trabajo - SG-SST”. Por favor tener en cuenta que las decisiones de esta comisión son institucionales y de obligatorio cumplimiento."</t>
        </is>
      </c>
    </row>
    <row r="791">
      <c r="A791" s="7" t="inlineStr">
        <is>
          <t>sgsst-2023-1</t>
        </is>
      </c>
      <c r="B791" s="7" t="n">
        <v>4</v>
      </c>
      <c r="C791" s="7" t="inlineStr">
        <is>
          <t>SG-SST</t>
        </is>
      </c>
      <c r="D791" s="7" t="inlineStr">
        <is>
          <t>2023</t>
        </is>
      </c>
      <c r="E791" s="7" t="n">
        <v>1</v>
      </c>
      <c r="F791" s="8" t="n">
        <v>45777</v>
      </c>
      <c r="G791" s="7" t="inlineStr">
        <is>
          <t>DANIEL EDUARDO SOTO BERNAL</t>
        </is>
      </c>
      <c r="H791" s="14" t="n">
        <v>1</v>
      </c>
      <c r="I791" s="15">
        <f>IF(H791="","",H791/2)</f>
        <v/>
      </c>
      <c r="J791" s="7">
        <f>IF(H791="",0,IF(SUMPRODUCT((Seguimientos!$A$2:$A$1013=A791)*(Seguimientos!$F$2:$F$1013=F791)*(Seguimientos!$B$2:$B$1013&gt;B791)*(Seguimientos!$H$2:$H$1013&lt;&gt;""))=0,1,0))</f>
        <v/>
      </c>
      <c r="K791" s="7">
        <f>A791&amp;"|"&amp;B791</f>
        <v/>
      </c>
      <c r="L791" s="13" t="inlineStr">
        <is>
          <t>Según lineamientos de la alta dirección la politica debe ser integrada con todos los sistemas de gestión, es por eso que se encuentra en actualización y verificacion con los sistemas. Se adjunta acta de reunión de los sistemas integrados e imagen de la presentación de la propuesta de la politica integrada.</t>
        </is>
      </c>
    </row>
    <row r="792">
      <c r="A792" s="7" t="inlineStr">
        <is>
          <t>sgsst-2023-1</t>
        </is>
      </c>
      <c r="B792" s="7" t="n">
        <v>5</v>
      </c>
      <c r="C792" s="7" t="inlineStr">
        <is>
          <t>SG-SST</t>
        </is>
      </c>
      <c r="D792" s="7" t="inlineStr">
        <is>
          <t>2023</t>
        </is>
      </c>
      <c r="E792" s="7" t="n">
        <v>1</v>
      </c>
      <c r="F792" s="8" t="n">
        <v>45930</v>
      </c>
      <c r="G792" s="7" t="inlineStr">
        <is>
          <t>Joan Imayinne Galvis Moreno</t>
        </is>
      </c>
      <c r="H792" s="14" t="n">
        <v>1</v>
      </c>
      <c r="I792" s="15">
        <f>IF(H792="","",H792/2)</f>
        <v/>
      </c>
      <c r="J792" s="7">
        <f>IF(H792="",0,IF(SUMPRODUCT((Seguimientos!$A$2:$A$1013=A792)*(Seguimientos!$F$2:$F$1013=F792)*(Seguimientos!$B$2:$B$1013&gt;B792)*(Seguimientos!$H$2:$H$1013&lt;&gt;""))=0,1,0))</f>
        <v/>
      </c>
      <c r="K792" s="7">
        <f>A792&amp;"|"&amp;B792</f>
        <v/>
      </c>
      <c r="L792" s="13" t="inlineStr">
        <is>
          <t>Como sugerencia de la alta dirección la política debe ser integrada con todos los sistemas de gestión, se adjunta el correo con las recomendaciones del señor rector donde realiza la verificación y ajustes a la polít ica de los sistemas integrados.</t>
        </is>
      </c>
    </row>
    <row r="793">
      <c r="A793" s="7" t="inlineStr">
        <is>
          <t>sgsst-2023-1</t>
        </is>
      </c>
      <c r="B793" s="7" t="n">
        <v>6</v>
      </c>
      <c r="C793" s="7" t="inlineStr">
        <is>
          <t>SG-SST</t>
        </is>
      </c>
      <c r="D793" s="7" t="inlineStr">
        <is>
          <t>2023</t>
        </is>
      </c>
      <c r="E793" s="7" t="n">
        <v>1</v>
      </c>
      <c r="F793" s="8" t="n">
        <v>46142</v>
      </c>
      <c r="G793" s="7" t="inlineStr">
        <is>
          <t>JOAN IMAYINNE GALVIS MORENO</t>
        </is>
      </c>
      <c r="H793" s="14" t="n">
        <v>1</v>
      </c>
      <c r="I793" s="15">
        <f>IF(H793="","",H793/2)</f>
        <v/>
      </c>
      <c r="J793" s="7">
        <f>IF(H793="",0,IF(SUMPRODUCT((Seguimientos!$A$2:$A$1013=A793)*(Seguimientos!$F$2:$F$1013=F793)*(Seguimientos!$B$2:$B$1013&gt;B793)*(Seguimientos!$H$2:$H$1013&lt;&gt;""))=0,1,0))</f>
        <v/>
      </c>
      <c r="K793" s="7">
        <f>A793&amp;"|"&amp;B793</f>
        <v/>
      </c>
      <c r="L793" s="13" t="inlineStr">
        <is>
          <t>No se presenta avance</t>
        </is>
      </c>
    </row>
    <row r="794">
      <c r="A794" s="7" t="inlineStr">
        <is>
          <t>sgsst-2023-1</t>
        </is>
      </c>
      <c r="B794" s="7" t="n">
        <v>7</v>
      </c>
      <c r="C794" s="7" t="inlineStr">
        <is>
          <t>SG-SST</t>
        </is>
      </c>
      <c r="D794" s="7" t="inlineStr">
        <is>
          <t>2023</t>
        </is>
      </c>
      <c r="E794" s="7" t="n">
        <v>1</v>
      </c>
      <c r="F794" s="8" t="n">
        <v>46142</v>
      </c>
      <c r="G794" s="7" t="inlineStr">
        <is>
          <t>JOAN IMAYINNE GALVIS MORENO</t>
        </is>
      </c>
      <c r="H794" s="14" t="n">
        <v>1.5</v>
      </c>
      <c r="I794" s="15">
        <f>IF(H794="","",H794/2)</f>
        <v/>
      </c>
      <c r="J794" s="7">
        <f>IF(H794="",0,IF(SUMPRODUCT((Seguimientos!$A$2:$A$1013=A794)*(Seguimientos!$F$2:$F$1013=F794)*(Seguimientos!$B$2:$B$1013&gt;B794)*(Seguimientos!$H$2:$H$1013&lt;&gt;""))=0,1,0))</f>
        <v/>
      </c>
      <c r="K794" s="7">
        <f>A794&amp;"|"&amp;B794</f>
        <v/>
      </c>
      <c r="L794" s="13" t="inlineStr">
        <is>
          <t>No se presenta avance</t>
        </is>
      </c>
    </row>
    <row r="795">
      <c r="A795" s="7" t="inlineStr">
        <is>
          <t>sgsst-2023-2</t>
        </is>
      </c>
      <c r="B795" s="7" t="n">
        <v>1</v>
      </c>
      <c r="C795" s="7" t="inlineStr">
        <is>
          <t>SG-SST</t>
        </is>
      </c>
      <c r="D795" s="7" t="inlineStr">
        <is>
          <t>2023</t>
        </is>
      </c>
      <c r="E795" s="7" t="n">
        <v>2</v>
      </c>
      <c r="F795" s="8" t="n">
        <v>45405</v>
      </c>
      <c r="G795" s="7" t="inlineStr">
        <is>
          <t>DANIEL EDUARDO SOTO BERNAL</t>
        </is>
      </c>
      <c r="H795" s="14" t="n">
        <v>1</v>
      </c>
      <c r="I795" s="15">
        <f>IF(H795="","",H795/2)</f>
        <v/>
      </c>
      <c r="J795" s="7">
        <f>IF(H795="",0,IF(SUMPRODUCT((Seguimientos!$A$2:$A$1013=A795)*(Seguimientos!$F$2:$F$1013=F795)*(Seguimientos!$B$2:$B$1013&gt;B795)*(Seguimientos!$H$2:$H$1013&lt;&gt;""))=0,1,0))</f>
        <v/>
      </c>
      <c r="K795" s="7">
        <f>A795&amp;"|"&amp;B795</f>
        <v/>
      </c>
      <c r="L795" s="13" t="inlineStr">
        <is>
          <t>Se encuentra en priorización de proyectos de inversión por el área de recursos físicos.</t>
        </is>
      </c>
    </row>
    <row r="796">
      <c r="A796" s="7" t="inlineStr">
        <is>
          <t>sgsst-2023-2</t>
        </is>
      </c>
      <c r="B796" s="7" t="n">
        <v>2</v>
      </c>
      <c r="C796" s="7" t="inlineStr">
        <is>
          <t>SG-SST</t>
        </is>
      </c>
      <c r="D796" s="7" t="inlineStr">
        <is>
          <t>2023</t>
        </is>
      </c>
      <c r="E796" s="7" t="n">
        <v>2</v>
      </c>
      <c r="F796" s="8" t="n">
        <v>45497</v>
      </c>
      <c r="G796" s="7" t="inlineStr">
        <is>
          <t>DANIEL EDUARDO SOTO BERNAL</t>
        </is>
      </c>
      <c r="H796" s="14" t="n">
        <v>1</v>
      </c>
      <c r="I796" s="15">
        <f>IF(H796="","",H796/2)</f>
        <v/>
      </c>
      <c r="J796" s="7">
        <f>IF(H796="",0,IF(SUMPRODUCT((Seguimientos!$A$2:$A$1013=A796)*(Seguimientos!$F$2:$F$1013=F796)*(Seguimientos!$B$2:$B$1013&gt;B796)*(Seguimientos!$H$2:$H$1013&lt;&gt;""))=0,1,0))</f>
        <v/>
      </c>
      <c r="K796" s="7">
        <f>A796&amp;"|"&amp;B796</f>
        <v/>
      </c>
      <c r="L796" s="13" t="inlineStr"/>
    </row>
    <row r="797">
      <c r="A797" s="7" t="inlineStr">
        <is>
          <t>sgsst-2023-2</t>
        </is>
      </c>
      <c r="B797" s="7" t="n">
        <v>3</v>
      </c>
      <c r="C797" s="7" t="inlineStr">
        <is>
          <t>SG-SST</t>
        </is>
      </c>
      <c r="D797" s="7" t="inlineStr">
        <is>
          <t>2023</t>
        </is>
      </c>
      <c r="E797" s="7" t="n">
        <v>2</v>
      </c>
      <c r="F797" s="8" t="n">
        <v>45583</v>
      </c>
      <c r="G797" s="7" t="inlineStr">
        <is>
          <t>DANIEL EDUARDO SOTO BERNAL</t>
        </is>
      </c>
      <c r="H797" s="14" t="n">
        <v>1</v>
      </c>
      <c r="I797" s="15">
        <f>IF(H797="","",H797/2)</f>
        <v/>
      </c>
      <c r="J797" s="7">
        <f>IF(H797="",0,IF(SUMPRODUCT((Seguimientos!$A$2:$A$1013=A797)*(Seguimientos!$F$2:$F$1013=F797)*(Seguimientos!$B$2:$B$1013&gt;B797)*(Seguimientos!$H$2:$H$1013&lt;&gt;""))=0,1,0))</f>
        <v/>
      </c>
      <c r="K797" s="7">
        <f>A797&amp;"|"&amp;B797</f>
        <v/>
      </c>
      <c r="L797" s="13" t="inlineStr">
        <is>
          <t>INVITACIÓN PRIVADA N° 036 Adquirir sillas ergonomicas para los funcionarios administrativos de la sede, seccionales y extensiones de la Universidad de Cundinamarca, está publicado, en etapa de evaluación de requisitos Técnicos , juridicos y financieros. Se adjunta evidencia.</t>
        </is>
      </c>
    </row>
    <row r="798">
      <c r="A798" s="7" t="inlineStr">
        <is>
          <t>sgsst-2023-2</t>
        </is>
      </c>
      <c r="B798" s="7" t="n">
        <v>4</v>
      </c>
      <c r="C798" s="7" t="inlineStr">
        <is>
          <t>SG-SST</t>
        </is>
      </c>
      <c r="D798" s="7" t="inlineStr">
        <is>
          <t>2023</t>
        </is>
      </c>
      <c r="E798" s="7" t="n">
        <v>2</v>
      </c>
      <c r="F798" s="8" t="n">
        <v>45777</v>
      </c>
      <c r="G798" s="7" t="inlineStr">
        <is>
          <t>DANIEL EDUARDO SOTO BERNAL</t>
        </is>
      </c>
      <c r="H798" s="14" t="n">
        <v>2</v>
      </c>
      <c r="I798" s="15">
        <f>IF(H798="","",H798/2)</f>
        <v/>
      </c>
      <c r="J798" s="7">
        <f>IF(H798="",0,IF(SUMPRODUCT((Seguimientos!$A$2:$A$1013=A798)*(Seguimientos!$F$2:$F$1013=F798)*(Seguimientos!$B$2:$B$1013&gt;B798)*(Seguimientos!$H$2:$H$1013&lt;&gt;""))=0,1,0))</f>
        <v/>
      </c>
      <c r="K798" s="7">
        <f>A798&amp;"|"&amp;B798</f>
        <v/>
      </c>
      <c r="L798" s="13" t="inlineStr">
        <is>
          <t>INFORME DE LA ENTREGA DE LAS SILLAS</t>
        </is>
      </c>
    </row>
    <row r="799">
      <c r="A799" s="7" t="inlineStr">
        <is>
          <t>sgsst-2023-2</t>
        </is>
      </c>
      <c r="B799" s="7" t="n">
        <v>5</v>
      </c>
      <c r="C799" s="7" t="inlineStr">
        <is>
          <t>SG-SST</t>
        </is>
      </c>
      <c r="D799" s="7" t="inlineStr">
        <is>
          <t>2023</t>
        </is>
      </c>
      <c r="E799" s="7" t="n">
        <v>2</v>
      </c>
      <c r="F799" s="8" t="n">
        <v>45930</v>
      </c>
      <c r="G799" s="7" t="inlineStr">
        <is>
          <t>Joan Imayinne Galvis Moreno</t>
        </is>
      </c>
      <c r="H799" s="14" t="n">
        <v>2</v>
      </c>
      <c r="I799" s="15">
        <f>IF(H799="","",H799/2)</f>
        <v/>
      </c>
      <c r="J799" s="7">
        <f>IF(H799="",0,IF(SUMPRODUCT((Seguimientos!$A$2:$A$1013=A799)*(Seguimientos!$F$2:$F$1013=F799)*(Seguimientos!$B$2:$B$1013&gt;B799)*(Seguimientos!$H$2:$H$1013&lt;&gt;""))=0,1,0))</f>
        <v/>
      </c>
      <c r="K799" s="7">
        <f>A799&amp;"|"&amp;B799</f>
        <v/>
      </c>
      <c r="L799" s="13" t="inlineStr">
        <is>
          <t>ACTIVIDAD CUMPLIDA</t>
        </is>
      </c>
    </row>
    <row r="800">
      <c r="A800" s="7" t="inlineStr">
        <is>
          <t>sgsst-2023-2</t>
        </is>
      </c>
      <c r="B800" s="7" t="n">
        <v>6</v>
      </c>
      <c r="C800" s="7" t="inlineStr">
        <is>
          <t>SG-SST</t>
        </is>
      </c>
      <c r="D800" s="7" t="inlineStr">
        <is>
          <t>2023</t>
        </is>
      </c>
      <c r="E800" s="7" t="n">
        <v>2</v>
      </c>
      <c r="F800" s="8" t="n">
        <v>46142</v>
      </c>
      <c r="G800" s="7" t="inlineStr">
        <is>
          <t>JOAN IMAYINNE GALVIS MORENO</t>
        </is>
      </c>
      <c r="H800" s="14" t="n">
        <v>2</v>
      </c>
      <c r="I800" s="15">
        <f>IF(H800="","",H800/2)</f>
        <v/>
      </c>
      <c r="J800" s="7">
        <f>IF(H800="",0,IF(SUMPRODUCT((Seguimientos!$A$2:$A$1013=A800)*(Seguimientos!$F$2:$F$1013=F800)*(Seguimientos!$B$2:$B$1013&gt;B800)*(Seguimientos!$H$2:$H$1013&lt;&gt;""))=0,1,0))</f>
        <v/>
      </c>
      <c r="K800" s="7">
        <f>A800&amp;"|"&amp;B800</f>
        <v/>
      </c>
      <c r="L800" s="13" t="inlineStr">
        <is>
          <t>ACTIVIDAD CUMPLIDA</t>
        </is>
      </c>
    </row>
    <row r="801">
      <c r="A801" s="7" t="inlineStr">
        <is>
          <t>sgsst-2023-2</t>
        </is>
      </c>
      <c r="B801" s="7" t="n">
        <v>7</v>
      </c>
      <c r="C801" s="7" t="inlineStr">
        <is>
          <t>SG-SST</t>
        </is>
      </c>
      <c r="D801" s="7" t="inlineStr">
        <is>
          <t>2023</t>
        </is>
      </c>
      <c r="E801" s="7" t="n">
        <v>2</v>
      </c>
      <c r="F801" s="8" t="n">
        <v>46142</v>
      </c>
      <c r="G801" s="7" t="inlineStr">
        <is>
          <t>JOAN IMAYINNE GALVIS MORENO</t>
        </is>
      </c>
      <c r="H801" s="14" t="n">
        <v>2</v>
      </c>
      <c r="I801" s="15">
        <f>IF(H801="","",H801/2)</f>
        <v/>
      </c>
      <c r="J801" s="7">
        <f>IF(H801="",0,IF(SUMPRODUCT((Seguimientos!$A$2:$A$1013=A801)*(Seguimientos!$F$2:$F$1013=F801)*(Seguimientos!$B$2:$B$1013&gt;B801)*(Seguimientos!$H$2:$H$1013&lt;&gt;""))=0,1,0))</f>
        <v/>
      </c>
      <c r="K801" s="7">
        <f>A801&amp;"|"&amp;B801</f>
        <v/>
      </c>
      <c r="L801" s="13" t="inlineStr">
        <is>
          <t>ACTIVIDAD CUMPLIDA</t>
        </is>
      </c>
    </row>
    <row r="802">
      <c r="A802" s="7" t="inlineStr">
        <is>
          <t>sgsst-2023-3</t>
        </is>
      </c>
      <c r="B802" s="7" t="n">
        <v>1</v>
      </c>
      <c r="C802" s="7" t="inlineStr">
        <is>
          <t>SG-SST</t>
        </is>
      </c>
      <c r="D802" s="7" t="inlineStr">
        <is>
          <t>2023</t>
        </is>
      </c>
      <c r="E802" s="7" t="n">
        <v>3</v>
      </c>
      <c r="F802" s="8" t="n">
        <v>45405</v>
      </c>
      <c r="G802" s="7" t="inlineStr">
        <is>
          <t>DANIEL EDUARDO SOTO BERNAL</t>
        </is>
      </c>
      <c r="H802" s="14" t="n">
        <v>1</v>
      </c>
      <c r="I802" s="15">
        <f>IF(H802="","",H802/2)</f>
        <v/>
      </c>
      <c r="J802" s="7">
        <f>IF(H802="",0,IF(SUMPRODUCT((Seguimientos!$A$2:$A$1013=A802)*(Seguimientos!$F$2:$F$1013=F802)*(Seguimientos!$B$2:$B$1013&gt;B802)*(Seguimientos!$H$2:$H$1013&lt;&gt;""))=0,1,0))</f>
        <v/>
      </c>
      <c r="K802" s="7">
        <f>A802&amp;"|"&amp;B802</f>
        <v/>
      </c>
      <c r="L802" s="13" t="inlineStr">
        <is>
          <t>El sistema de Gestión de Seguridad y Salud en el Trabajo adjunta PDF, solicitud a la Vicerrectoría Administrativa y Financiera , Apoyo Académico la continuidad del personal de apoyo en los laboratorio de química.</t>
        </is>
      </c>
    </row>
    <row r="803">
      <c r="A803" s="7" t="inlineStr">
        <is>
          <t>sgsst-2023-3</t>
        </is>
      </c>
      <c r="B803" s="7" t="n">
        <v>2</v>
      </c>
      <c r="C803" s="7" t="inlineStr">
        <is>
          <t>SG-SST</t>
        </is>
      </c>
      <c r="D803" s="7" t="inlineStr">
        <is>
          <t>2023</t>
        </is>
      </c>
      <c r="E803" s="7" t="n">
        <v>3</v>
      </c>
      <c r="F803" s="8" t="n">
        <v>45497</v>
      </c>
      <c r="G803" s="7" t="inlineStr">
        <is>
          <t>DANIEL EDUARDO SOTO BERNAL</t>
        </is>
      </c>
      <c r="H803" s="14" t="n">
        <v>1</v>
      </c>
      <c r="I803" s="15">
        <f>IF(H803="","",H803/2)</f>
        <v/>
      </c>
      <c r="J803" s="7">
        <f>IF(H803="",0,IF(SUMPRODUCT((Seguimientos!$A$2:$A$1013=A803)*(Seguimientos!$F$2:$F$1013=F803)*(Seguimientos!$B$2:$B$1013&gt;B803)*(Seguimientos!$H$2:$H$1013&lt;&gt;""))=0,1,0))</f>
        <v/>
      </c>
      <c r="K803" s="7">
        <f>A803&amp;"|"&amp;B803</f>
        <v/>
      </c>
      <c r="L803" s="13" t="inlineStr"/>
    </row>
    <row r="804">
      <c r="A804" s="7" t="inlineStr">
        <is>
          <t>sgsst-2023-3</t>
        </is>
      </c>
      <c r="B804" s="7" t="n">
        <v>3</v>
      </c>
      <c r="C804" s="7" t="inlineStr">
        <is>
          <t>SG-SST</t>
        </is>
      </c>
      <c r="D804" s="7" t="inlineStr">
        <is>
          <t>2023</t>
        </is>
      </c>
      <c r="E804" s="7" t="n">
        <v>3</v>
      </c>
      <c r="F804" s="8" t="n">
        <v>45583</v>
      </c>
      <c r="G804" s="7" t="inlineStr">
        <is>
          <t>DANIEL EDUARDO SOTO BERNAL</t>
        </is>
      </c>
      <c r="H804" s="14" t="n">
        <v>2</v>
      </c>
      <c r="I804" s="15">
        <f>IF(H804="","",H804/2)</f>
        <v/>
      </c>
      <c r="J804" s="7">
        <f>IF(H804="",0,IF(SUMPRODUCT((Seguimientos!$A$2:$A$1013=A804)*(Seguimientos!$F$2:$F$1013=F804)*(Seguimientos!$B$2:$B$1013&gt;B804)*(Seguimientos!$H$2:$H$1013&lt;&gt;""))=0,1,0))</f>
        <v/>
      </c>
      <c r="K804" s="7">
        <f>A804&amp;"|"&amp;B804</f>
        <v/>
      </c>
      <c r="L804" s="13" t="inlineStr">
        <is>
          <t>Se cuenta con la cotratación del personal de laboratorios, se adjuntan contratos.</t>
        </is>
      </c>
    </row>
    <row r="805">
      <c r="A805" s="7" t="inlineStr">
        <is>
          <t>sgsst-2023-3</t>
        </is>
      </c>
      <c r="B805" s="7" t="n">
        <v>4</v>
      </c>
      <c r="C805" s="7" t="inlineStr">
        <is>
          <t>SG-SST</t>
        </is>
      </c>
      <c r="D805" s="7" t="inlineStr">
        <is>
          <t>2023</t>
        </is>
      </c>
      <c r="E805" s="7" t="n">
        <v>3</v>
      </c>
      <c r="F805" s="8" t="n">
        <v>45777</v>
      </c>
      <c r="G805" s="7" t="inlineStr">
        <is>
          <t>DANIEL EDUARDO SOTO BERNAL</t>
        </is>
      </c>
      <c r="H805" s="14" t="n">
        <v>2</v>
      </c>
      <c r="I805" s="15">
        <f>IF(H805="","",H805/2)</f>
        <v/>
      </c>
      <c r="J805" s="7">
        <f>IF(H805="",0,IF(SUMPRODUCT((Seguimientos!$A$2:$A$1013=A805)*(Seguimientos!$F$2:$F$1013=F805)*(Seguimientos!$B$2:$B$1013&gt;B805)*(Seguimientos!$H$2:$H$1013&lt;&gt;""))=0,1,0))</f>
        <v/>
      </c>
      <c r="K805" s="7">
        <f>A805&amp;"|"&amp;B805</f>
        <v/>
      </c>
      <c r="L805" s="13" t="inlineStr">
        <is>
          <t>ACTIVIDAD CUMPLIDA</t>
        </is>
      </c>
    </row>
    <row r="806">
      <c r="A806" s="7" t="inlineStr">
        <is>
          <t>sgsst-2023-3</t>
        </is>
      </c>
      <c r="B806" s="7" t="n">
        <v>5</v>
      </c>
      <c r="C806" s="7" t="inlineStr">
        <is>
          <t>SG-SST</t>
        </is>
      </c>
      <c r="D806" s="7" t="inlineStr">
        <is>
          <t>2023</t>
        </is>
      </c>
      <c r="E806" s="7" t="n">
        <v>3</v>
      </c>
      <c r="F806" s="8" t="n">
        <v>45930</v>
      </c>
      <c r="G806" s="7" t="inlineStr">
        <is>
          <t>Joan Imayinne Galvis Moreno</t>
        </is>
      </c>
      <c r="H806" s="14" t="n">
        <v>2</v>
      </c>
      <c r="I806" s="15">
        <f>IF(H806="","",H806/2)</f>
        <v/>
      </c>
      <c r="J806" s="7">
        <f>IF(H806="",0,IF(SUMPRODUCT((Seguimientos!$A$2:$A$1013=A806)*(Seguimientos!$F$2:$F$1013=F806)*(Seguimientos!$B$2:$B$1013&gt;B806)*(Seguimientos!$H$2:$H$1013&lt;&gt;""))=0,1,0))</f>
        <v/>
      </c>
      <c r="K806" s="7">
        <f>A806&amp;"|"&amp;B806</f>
        <v/>
      </c>
      <c r="L806" s="13" t="inlineStr">
        <is>
          <t>ACTIVIDAD CUMPLIDA</t>
        </is>
      </c>
    </row>
    <row r="807">
      <c r="A807" s="7" t="inlineStr">
        <is>
          <t>sgsst-2023-3</t>
        </is>
      </c>
      <c r="B807" s="7" t="n">
        <v>6</v>
      </c>
      <c r="C807" s="7" t="inlineStr">
        <is>
          <t>SG-SST</t>
        </is>
      </c>
      <c r="D807" s="7" t="inlineStr">
        <is>
          <t>2023</t>
        </is>
      </c>
      <c r="E807" s="7" t="n">
        <v>3</v>
      </c>
      <c r="F807" s="8" t="n">
        <v>46142</v>
      </c>
      <c r="G807" s="7" t="inlineStr">
        <is>
          <t>JOAN IMAYINNE GALVIS MORENO</t>
        </is>
      </c>
      <c r="H807" s="14" t="n">
        <v>2</v>
      </c>
      <c r="I807" s="15">
        <f>IF(H807="","",H807/2)</f>
        <v/>
      </c>
      <c r="J807" s="7">
        <f>IF(H807="",0,IF(SUMPRODUCT((Seguimientos!$A$2:$A$1013=A807)*(Seguimientos!$F$2:$F$1013=F807)*(Seguimientos!$B$2:$B$1013&gt;B807)*(Seguimientos!$H$2:$H$1013&lt;&gt;""))=0,1,0))</f>
        <v/>
      </c>
      <c r="K807" s="7">
        <f>A807&amp;"|"&amp;B807</f>
        <v/>
      </c>
      <c r="L807" s="13" t="inlineStr">
        <is>
          <t>ACTIVIDAD CUMPLIDA</t>
        </is>
      </c>
    </row>
    <row r="808">
      <c r="A808" s="7" t="inlineStr">
        <is>
          <t>sgsst-2023-3</t>
        </is>
      </c>
      <c r="B808" s="7" t="n">
        <v>7</v>
      </c>
      <c r="C808" s="7" t="inlineStr">
        <is>
          <t>SG-SST</t>
        </is>
      </c>
      <c r="D808" s="7" t="inlineStr">
        <is>
          <t>2023</t>
        </is>
      </c>
      <c r="E808" s="7" t="n">
        <v>3</v>
      </c>
      <c r="F808" s="8" t="n">
        <v>46142</v>
      </c>
      <c r="G808" s="7" t="inlineStr">
        <is>
          <t>JOAN IMAYINNE GALVIS MORENO</t>
        </is>
      </c>
      <c r="H808" s="14" t="n">
        <v>2</v>
      </c>
      <c r="I808" s="15">
        <f>IF(H808="","",H808/2)</f>
        <v/>
      </c>
      <c r="J808" s="7">
        <f>IF(H808="",0,IF(SUMPRODUCT((Seguimientos!$A$2:$A$1013=A808)*(Seguimientos!$F$2:$F$1013=F808)*(Seguimientos!$B$2:$B$1013&gt;B808)*(Seguimientos!$H$2:$H$1013&lt;&gt;""))=0,1,0))</f>
        <v/>
      </c>
      <c r="K808" s="7">
        <f>A808&amp;"|"&amp;B808</f>
        <v/>
      </c>
      <c r="L808" s="13" t="inlineStr">
        <is>
          <t>ACTIVIDAD CUMPLIDA</t>
        </is>
      </c>
    </row>
    <row r="809">
      <c r="A809" s="7" t="inlineStr">
        <is>
          <t>sgsst-2023-4</t>
        </is>
      </c>
      <c r="B809" s="7" t="n">
        <v>1</v>
      </c>
      <c r="C809" s="7" t="inlineStr">
        <is>
          <t>SG-SST</t>
        </is>
      </c>
      <c r="D809" s="7" t="inlineStr">
        <is>
          <t>2023</t>
        </is>
      </c>
      <c r="E809" s="7" t="n">
        <v>4</v>
      </c>
      <c r="F809" s="8" t="n">
        <v>45405</v>
      </c>
      <c r="G809" s="7" t="inlineStr">
        <is>
          <t>DANIEL EDUARDO SOTO BERNAL</t>
        </is>
      </c>
      <c r="H809" s="14" t="n">
        <v>0</v>
      </c>
      <c r="I809" s="15">
        <f>IF(H809="","",H809/2)</f>
        <v/>
      </c>
      <c r="J809" s="7">
        <f>IF(H809="",0,IF(SUMPRODUCT((Seguimientos!$A$2:$A$1013=A809)*(Seguimientos!$F$2:$F$1013=F809)*(Seguimientos!$B$2:$B$1013&gt;B809)*(Seguimientos!$H$2:$H$1013&lt;&gt;""))=0,1,0))</f>
        <v/>
      </c>
      <c r="K809" s="7">
        <f>A809&amp;"|"&amp;B809</f>
        <v/>
      </c>
      <c r="L809" s="13" t="inlineStr">
        <is>
          <t>Membresía se encuentra en términos de ejecución.</t>
        </is>
      </c>
    </row>
    <row r="810">
      <c r="A810" s="7" t="inlineStr">
        <is>
          <t>sgsst-2023-4</t>
        </is>
      </c>
      <c r="B810" s="7" t="n">
        <v>2</v>
      </c>
      <c r="C810" s="7" t="inlineStr">
        <is>
          <t>SG-SST</t>
        </is>
      </c>
      <c r="D810" s="7" t="inlineStr">
        <is>
          <t>2023</t>
        </is>
      </c>
      <c r="E810" s="7" t="n">
        <v>4</v>
      </c>
      <c r="F810" s="8" t="n">
        <v>45497</v>
      </c>
      <c r="G810" s="7" t="inlineStr">
        <is>
          <t>DANIEL EDUARDO SOTO BERNAL</t>
        </is>
      </c>
      <c r="H810" s="14" t="n">
        <v>1.5</v>
      </c>
      <c r="I810" s="15">
        <f>IF(H810="","",H810/2)</f>
        <v/>
      </c>
      <c r="J810" s="7">
        <f>IF(H810="",0,IF(SUMPRODUCT((Seguimientos!$A$2:$A$1013=A810)*(Seguimientos!$F$2:$F$1013=F810)*(Seguimientos!$B$2:$B$1013&gt;B810)*(Seguimientos!$H$2:$H$1013&lt;&gt;""))=0,1,0))</f>
        <v/>
      </c>
      <c r="K810" s="7">
        <f>A810&amp;"|"&amp;B810</f>
        <v/>
      </c>
      <c r="L810" s="13" t="inlineStr">
        <is>
          <t>Se adjunta contrato del centro juridico que se encuentra vigente, en tramites para cuando se termine continuar con la membresia, tambien se adjunta pantallazo de la platafoma de centro juridico donde se evidencia que se encuentra activo el contrato.</t>
        </is>
      </c>
    </row>
    <row r="811">
      <c r="A811" s="7" t="inlineStr">
        <is>
          <t>sgsst-2023-4</t>
        </is>
      </c>
      <c r="B811" s="7" t="n">
        <v>3</v>
      </c>
      <c r="C811" s="7" t="inlineStr">
        <is>
          <t>SG-SST</t>
        </is>
      </c>
      <c r="D811" s="7" t="inlineStr">
        <is>
          <t>2023</t>
        </is>
      </c>
      <c r="E811" s="7" t="n">
        <v>4</v>
      </c>
      <c r="F811" s="8" t="n">
        <v>45583</v>
      </c>
      <c r="G811" s="7" t="inlineStr">
        <is>
          <t>DANIEL EDUARDO SOTO BERNAL</t>
        </is>
      </c>
      <c r="H811" s="14" t="n">
        <v>2</v>
      </c>
      <c r="I811" s="15">
        <f>IF(H811="","",H811/2)</f>
        <v/>
      </c>
      <c r="J811" s="7">
        <f>IF(H811="",0,IF(SUMPRODUCT((Seguimientos!$A$2:$A$1013=A811)*(Seguimientos!$F$2:$F$1013=F811)*(Seguimientos!$B$2:$B$1013&gt;B811)*(Seguimientos!$H$2:$H$1013&lt;&gt;""))=0,1,0))</f>
        <v/>
      </c>
      <c r="K811" s="7">
        <f>A811&amp;"|"&amp;B811</f>
        <v/>
      </c>
      <c r="L811" s="13" t="inlineStr">
        <is>
          <t>Contrato centro jurídico de fecha, en la vigencia 2024, dando por terminada la tarea.</t>
        </is>
      </c>
    </row>
    <row r="812">
      <c r="A812" s="7" t="inlineStr">
        <is>
          <t>sgsst-2023-4</t>
        </is>
      </c>
      <c r="B812" s="7" t="n">
        <v>4</v>
      </c>
      <c r="C812" s="7" t="inlineStr">
        <is>
          <t>SG-SST</t>
        </is>
      </c>
      <c r="D812" s="7" t="inlineStr">
        <is>
          <t>2023</t>
        </is>
      </c>
      <c r="E812" s="7" t="n">
        <v>4</v>
      </c>
      <c r="F812" s="8" t="n">
        <v>45777</v>
      </c>
      <c r="G812" s="7" t="inlineStr">
        <is>
          <t>DANIEL EDUARDO SOTO BERNAL</t>
        </is>
      </c>
      <c r="H812" s="14" t="n">
        <v>2</v>
      </c>
      <c r="I812" s="15">
        <f>IF(H812="","",H812/2)</f>
        <v/>
      </c>
      <c r="J812" s="7">
        <f>IF(H812="",0,IF(SUMPRODUCT((Seguimientos!$A$2:$A$1013=A812)*(Seguimientos!$F$2:$F$1013=F812)*(Seguimientos!$B$2:$B$1013&gt;B812)*(Seguimientos!$H$2:$H$1013&lt;&gt;""))=0,1,0))</f>
        <v/>
      </c>
      <c r="K812" s="7">
        <f>A812&amp;"|"&amp;B812</f>
        <v/>
      </c>
      <c r="L812" s="13" t="inlineStr">
        <is>
          <t>ACTIVIDAD CUMPLIDA</t>
        </is>
      </c>
    </row>
    <row r="813">
      <c r="A813" s="7" t="inlineStr">
        <is>
          <t>sgsst-2023-4</t>
        </is>
      </c>
      <c r="B813" s="7" t="n">
        <v>5</v>
      </c>
      <c r="C813" s="7" t="inlineStr">
        <is>
          <t>SG-SST</t>
        </is>
      </c>
      <c r="D813" s="7" t="inlineStr">
        <is>
          <t>2023</t>
        </is>
      </c>
      <c r="E813" s="7" t="n">
        <v>4</v>
      </c>
      <c r="F813" s="8" t="n">
        <v>45930</v>
      </c>
      <c r="G813" s="7" t="inlineStr">
        <is>
          <t>Joan Imayinne Galvis Moreno</t>
        </is>
      </c>
      <c r="H813" s="14" t="n">
        <v>2</v>
      </c>
      <c r="I813" s="15">
        <f>IF(H813="","",H813/2)</f>
        <v/>
      </c>
      <c r="J813" s="7">
        <f>IF(H813="",0,IF(SUMPRODUCT((Seguimientos!$A$2:$A$1013=A813)*(Seguimientos!$F$2:$F$1013=F813)*(Seguimientos!$B$2:$B$1013&gt;B813)*(Seguimientos!$H$2:$H$1013&lt;&gt;""))=0,1,0))</f>
        <v/>
      </c>
      <c r="K813" s="7">
        <f>A813&amp;"|"&amp;B813</f>
        <v/>
      </c>
      <c r="L813" s="13" t="inlineStr">
        <is>
          <t>ACTIVIDAD CUMPLIDA</t>
        </is>
      </c>
    </row>
    <row r="814">
      <c r="A814" s="7" t="inlineStr">
        <is>
          <t>sgsst-2023-4</t>
        </is>
      </c>
      <c r="B814" s="7" t="n">
        <v>6</v>
      </c>
      <c r="C814" s="7" t="inlineStr">
        <is>
          <t>SG-SST</t>
        </is>
      </c>
      <c r="D814" s="7" t="inlineStr">
        <is>
          <t>2023</t>
        </is>
      </c>
      <c r="E814" s="7" t="n">
        <v>4</v>
      </c>
      <c r="F814" s="8" t="n">
        <v>46142</v>
      </c>
      <c r="G814" s="7" t="inlineStr">
        <is>
          <t>JOAN IMAYINNE GALVIS MORENO</t>
        </is>
      </c>
      <c r="H814" s="14" t="n">
        <v>2</v>
      </c>
      <c r="I814" s="15">
        <f>IF(H814="","",H814/2)</f>
        <v/>
      </c>
      <c r="J814" s="7">
        <f>IF(H814="",0,IF(SUMPRODUCT((Seguimientos!$A$2:$A$1013=A814)*(Seguimientos!$F$2:$F$1013=F814)*(Seguimientos!$B$2:$B$1013&gt;B814)*(Seguimientos!$H$2:$H$1013&lt;&gt;""))=0,1,0))</f>
        <v/>
      </c>
      <c r="K814" s="7">
        <f>A814&amp;"|"&amp;B814</f>
        <v/>
      </c>
      <c r="L814" s="13" t="inlineStr">
        <is>
          <t>ACTIVIDAD CUMPLIDA</t>
        </is>
      </c>
    </row>
    <row r="815">
      <c r="A815" s="7" t="inlineStr">
        <is>
          <t>sgsst-2023-4</t>
        </is>
      </c>
      <c r="B815" s="7" t="n">
        <v>7</v>
      </c>
      <c r="C815" s="7" t="inlineStr">
        <is>
          <t>SG-SST</t>
        </is>
      </c>
      <c r="D815" s="7" t="inlineStr">
        <is>
          <t>2023</t>
        </is>
      </c>
      <c r="E815" s="7" t="n">
        <v>4</v>
      </c>
      <c r="F815" s="8" t="n">
        <v>46142</v>
      </c>
      <c r="G815" s="7" t="inlineStr">
        <is>
          <t>JOAN IMAYINNE GALVIS MORENO</t>
        </is>
      </c>
      <c r="H815" s="14" t="n">
        <v>2</v>
      </c>
      <c r="I815" s="15">
        <f>IF(H815="","",H815/2)</f>
        <v/>
      </c>
      <c r="J815" s="7">
        <f>IF(H815="",0,IF(SUMPRODUCT((Seguimientos!$A$2:$A$1013=A815)*(Seguimientos!$F$2:$F$1013=F815)*(Seguimientos!$B$2:$B$1013&gt;B815)*(Seguimientos!$H$2:$H$1013&lt;&gt;""))=0,1,0))</f>
        <v/>
      </c>
      <c r="K815" s="7">
        <f>A815&amp;"|"&amp;B815</f>
        <v/>
      </c>
      <c r="L815" s="13" t="inlineStr">
        <is>
          <t>ACTIVIDAD CUMPLIDA</t>
        </is>
      </c>
    </row>
    <row r="816">
      <c r="A816" s="7" t="inlineStr">
        <is>
          <t>sgsst-2023-5</t>
        </is>
      </c>
      <c r="B816" s="7" t="n">
        <v>1</v>
      </c>
      <c r="C816" s="7" t="inlineStr">
        <is>
          <t>SG-SST</t>
        </is>
      </c>
      <c r="D816" s="7" t="inlineStr">
        <is>
          <t>2023</t>
        </is>
      </c>
      <c r="E816" s="7" t="n">
        <v>5</v>
      </c>
      <c r="F816" s="8" t="n">
        <v>45405</v>
      </c>
      <c r="G816" s="7" t="inlineStr">
        <is>
          <t>DANIEL EDUARDO SOTO BERNAL</t>
        </is>
      </c>
      <c r="H816" s="14" t="n">
        <v>0</v>
      </c>
      <c r="I816" s="15">
        <f>IF(H816="","",H816/2)</f>
        <v/>
      </c>
      <c r="J816" s="7">
        <f>IF(H816="",0,IF(SUMPRODUCT((Seguimientos!$A$2:$A$1013=A816)*(Seguimientos!$F$2:$F$1013=F816)*(Seguimientos!$B$2:$B$1013&gt;B816)*(Seguimientos!$H$2:$H$1013&lt;&gt;""))=0,1,0))</f>
        <v/>
      </c>
      <c r="K816" s="7">
        <f>A816&amp;"|"&amp;B816</f>
        <v/>
      </c>
      <c r="L816" s="13" t="inlineStr">
        <is>
          <t>Actividad en términos.</t>
        </is>
      </c>
    </row>
    <row r="817">
      <c r="A817" s="7" t="inlineStr">
        <is>
          <t>sgsst-2023-5</t>
        </is>
      </c>
      <c r="B817" s="7" t="n">
        <v>2</v>
      </c>
      <c r="C817" s="7" t="inlineStr">
        <is>
          <t>SG-SST</t>
        </is>
      </c>
      <c r="D817" s="7" t="inlineStr">
        <is>
          <t>2023</t>
        </is>
      </c>
      <c r="E817" s="7" t="n">
        <v>5</v>
      </c>
      <c r="F817" s="8" t="n">
        <v>45497</v>
      </c>
      <c r="G817" s="7" t="inlineStr">
        <is>
          <t>DANIEL EDUARDO SOTO BERNAL</t>
        </is>
      </c>
      <c r="H817" s="14" t="n">
        <v>1</v>
      </c>
      <c r="I817" s="15">
        <f>IF(H817="","",H817/2)</f>
        <v/>
      </c>
      <c r="J817" s="7">
        <f>IF(H817="",0,IF(SUMPRODUCT((Seguimientos!$A$2:$A$1013=A817)*(Seguimientos!$F$2:$F$1013=F817)*(Seguimientos!$B$2:$B$1013&gt;B817)*(Seguimientos!$H$2:$H$1013&lt;&gt;""))=0,1,0))</f>
        <v/>
      </c>
      <c r="K817" s="7">
        <f>A817&amp;"|"&amp;B817</f>
        <v/>
      </c>
      <c r="L817" s="13" t="inlineStr">
        <is>
          <t>Se adjunta acta y registro de asistencia con el decano de la facultad de ciencias agropecuarias donde se validan los esquemas de vacunación de los gestores del conocimiento, de igual forma se adjunta correos del tema y su aprobación y actas de concejo de facultad.</t>
        </is>
      </c>
    </row>
    <row r="818">
      <c r="A818" s="7" t="inlineStr">
        <is>
          <t>sgsst-2023-5</t>
        </is>
      </c>
      <c r="B818" s="7" t="n">
        <v>3</v>
      </c>
      <c r="C818" s="7" t="inlineStr">
        <is>
          <t>SG-SST</t>
        </is>
      </c>
      <c r="D818" s="7" t="inlineStr">
        <is>
          <t>2023</t>
        </is>
      </c>
      <c r="E818" s="7" t="n">
        <v>5</v>
      </c>
      <c r="F818" s="8" t="n">
        <v>45583</v>
      </c>
      <c r="G818" s="7" t="inlineStr">
        <is>
          <t>DANIEL EDUARDO SOTO BERNAL</t>
        </is>
      </c>
      <c r="H818" s="14" t="n">
        <v>1</v>
      </c>
      <c r="I818" s="15">
        <f>IF(H818="","",H818/2)</f>
        <v/>
      </c>
      <c r="J818" s="7">
        <f>IF(H818="",0,IF(SUMPRODUCT((Seguimientos!$A$2:$A$1013=A818)*(Seguimientos!$F$2:$F$1013=F818)*(Seguimientos!$B$2:$B$1013&gt;B818)*(Seguimientos!$H$2:$H$1013&lt;&gt;""))=0,1,0))</f>
        <v/>
      </c>
      <c r="K818" s="7">
        <f>A818&amp;"|"&amp;B818</f>
        <v/>
      </c>
      <c r="L818" s="13" t="inlineStr">
        <is>
          <t>De acuerdo a la transición que se viene realizando con las vacunas de los gestores del conocimiento y estudiantes se requiere validar con la IPS GERIZIM la disponibilidad de las vacunas para los gestores del conocimiento, adicional se realiza un seguimiento de la vacunación con el programa de enfermeria.</t>
        </is>
      </c>
    </row>
    <row r="819">
      <c r="A819" s="7" t="inlineStr">
        <is>
          <t>sgsst-2023-5</t>
        </is>
      </c>
      <c r="B819" s="7" t="n">
        <v>4</v>
      </c>
      <c r="C819" s="7" t="inlineStr">
        <is>
          <t>SG-SST</t>
        </is>
      </c>
      <c r="D819" s="7" t="inlineStr">
        <is>
          <t>2023</t>
        </is>
      </c>
      <c r="E819" s="7" t="n">
        <v>5</v>
      </c>
      <c r="F819" s="8" t="n">
        <v>45777</v>
      </c>
      <c r="G819" s="7" t="inlineStr">
        <is>
          <t>DANIEL EDUARDO SOTO BERNAL</t>
        </is>
      </c>
      <c r="H819" s="14" t="n">
        <v>1.5</v>
      </c>
      <c r="I819" s="15">
        <f>IF(H819="","",H819/2)</f>
        <v/>
      </c>
      <c r="J819" s="7">
        <f>IF(H819="",0,IF(SUMPRODUCT((Seguimientos!$A$2:$A$1013=A819)*(Seguimientos!$F$2:$F$1013=F819)*(Seguimientos!$B$2:$B$1013&gt;B819)*(Seguimientos!$H$2:$H$1013&lt;&gt;""))=0,1,0))</f>
        <v/>
      </c>
      <c r="K819" s="7">
        <f>A819&amp;"|"&amp;B819</f>
        <v/>
      </c>
      <c r="L819" s="13" t="inlineStr">
        <is>
          <t>SEGUIMIENTO A VACUNACIÓN Y SE ENCUENTRA EN CONSTRUCCIÓN LA GUIA DE BIOSEGURIDAD INCLUIDA LA VACUNACIÓN. (PROGRAMA DE ENFERMERIA GIRARDOT)</t>
        </is>
      </c>
    </row>
    <row r="820">
      <c r="A820" s="7" t="inlineStr">
        <is>
          <t>sgsst-2023-5</t>
        </is>
      </c>
      <c r="B820" s="7" t="n">
        <v>5</v>
      </c>
      <c r="C820" s="7" t="inlineStr">
        <is>
          <t>SG-SST</t>
        </is>
      </c>
      <c r="D820" s="7" t="inlineStr">
        <is>
          <t>2023</t>
        </is>
      </c>
      <c r="E820" s="7" t="n">
        <v>5</v>
      </c>
      <c r="F820" s="8" t="n">
        <v>45930</v>
      </c>
      <c r="G820" s="7" t="inlineStr">
        <is>
          <t>Joan Imayinne Galvis Moreno</t>
        </is>
      </c>
      <c r="H820" s="14" t="n">
        <v>1.5</v>
      </c>
      <c r="I820" s="15">
        <f>IF(H820="","",H820/2)</f>
        <v/>
      </c>
      <c r="J820" s="7">
        <f>IF(H820="",0,IF(SUMPRODUCT((Seguimientos!$A$2:$A$1013=A820)*(Seguimientos!$F$2:$F$1013=F820)*(Seguimientos!$B$2:$B$1013&gt;B820)*(Seguimientos!$H$2:$H$1013&lt;&gt;""))=0,1,0))</f>
        <v/>
      </c>
      <c r="K820" s="7">
        <f>A820&amp;"|"&amp;B820</f>
        <v/>
      </c>
      <c r="L820" s="13" t="inlineStr">
        <is>
          <t>Se elaboró una Guía de Bioseguridad en articulación con el Programa de Enfermería, el cual ha venido realizando el seguimiento al esquema de vacunación. Actualmente, la guía se encuentra en verificación y en proceso de solicitud al SAD para su publicación y socialización, adjuntando su proyección. Se espera que, para el próximo seguimiento, la guía se encuentre publicada y socializada.</t>
        </is>
      </c>
    </row>
    <row r="821">
      <c r="A821" s="7" t="inlineStr">
        <is>
          <t>sgsst-2023-5</t>
        </is>
      </c>
      <c r="B821" s="7" t="n">
        <v>6</v>
      </c>
      <c r="C821" s="7" t="inlineStr">
        <is>
          <t>SG-SST</t>
        </is>
      </c>
      <c r="D821" s="7" t="inlineStr">
        <is>
          <t>2023</t>
        </is>
      </c>
      <c r="E821" s="7" t="n">
        <v>5</v>
      </c>
      <c r="F821" s="8" t="n">
        <v>46142</v>
      </c>
      <c r="G821" s="7" t="inlineStr">
        <is>
          <t>JOAN IMAYINNE GALVIS MORENO</t>
        </is>
      </c>
      <c r="H821" s="14" t="n">
        <v>1.5</v>
      </c>
      <c r="I821" s="15">
        <f>IF(H821="","",H821/2)</f>
        <v/>
      </c>
      <c r="J821" s="7">
        <f>IF(H821="",0,IF(SUMPRODUCT((Seguimientos!$A$2:$A$1013=A821)*(Seguimientos!$F$2:$F$1013=F821)*(Seguimientos!$B$2:$B$1013&gt;B821)*(Seguimientos!$H$2:$H$1013&lt;&gt;""))=0,1,0))</f>
        <v/>
      </c>
      <c r="K821" s="7">
        <f>A821&amp;"|"&amp;B821</f>
        <v/>
      </c>
      <c r="L821" s="13" t="inlineStr">
        <is>
          <t>No se presenta avance</t>
        </is>
      </c>
    </row>
    <row r="822">
      <c r="A822" s="7" t="inlineStr">
        <is>
          <t>sgsst-2023-5</t>
        </is>
      </c>
      <c r="B822" s="7" t="n">
        <v>7</v>
      </c>
      <c r="C822" s="7" t="inlineStr">
        <is>
          <t>SG-SST</t>
        </is>
      </c>
      <c r="D822" s="7" t="inlineStr">
        <is>
          <t>2023</t>
        </is>
      </c>
      <c r="E822" s="7" t="n">
        <v>5</v>
      </c>
      <c r="F822" s="8" t="n">
        <v>46142</v>
      </c>
      <c r="G822" s="7" t="inlineStr">
        <is>
          <t>JOAN IMAYINNE GALVIS MORENO</t>
        </is>
      </c>
      <c r="H822" s="14" t="n">
        <v>1.5</v>
      </c>
      <c r="I822" s="15">
        <f>IF(H822="","",H822/2)</f>
        <v/>
      </c>
      <c r="J822" s="7">
        <f>IF(H822="",0,IF(SUMPRODUCT((Seguimientos!$A$2:$A$1013=A822)*(Seguimientos!$F$2:$F$1013=F822)*(Seguimientos!$B$2:$B$1013&gt;B822)*(Seguimientos!$H$2:$H$1013&lt;&gt;""))=0,1,0))</f>
        <v/>
      </c>
      <c r="K822" s="7">
        <f>A822&amp;"|"&amp;B822</f>
        <v/>
      </c>
      <c r="L822" s="13" t="inlineStr">
        <is>
          <t>No se presenta avance</t>
        </is>
      </c>
    </row>
    <row r="823">
      <c r="A823" s="7" t="inlineStr">
        <is>
          <t>sgsst-2024-1</t>
        </is>
      </c>
      <c r="B823" s="7" t="n">
        <v>1</v>
      </c>
      <c r="C823" s="7" t="inlineStr">
        <is>
          <t>SG-SST</t>
        </is>
      </c>
      <c r="D823" s="7" t="inlineStr">
        <is>
          <t>2024</t>
        </is>
      </c>
      <c r="E823" s="7" t="n">
        <v>1</v>
      </c>
      <c r="F823" s="8" t="n">
        <v>45777</v>
      </c>
      <c r="G823" s="7" t="inlineStr">
        <is>
          <t>DANIEL EDUARDO SOTO BERNAL</t>
        </is>
      </c>
      <c r="H823" s="14" t="n">
        <v>0</v>
      </c>
      <c r="I823" s="15">
        <f>IF(H823="","",H823/2)</f>
        <v/>
      </c>
      <c r="J823" s="7">
        <f>IF(H823="",0,IF(SUMPRODUCT((Seguimientos!$A$2:$A$1013=A823)*(Seguimientos!$F$2:$F$1013=F823)*(Seguimientos!$B$2:$B$1013&gt;B823)*(Seguimientos!$H$2:$H$1013&lt;&gt;""))=0,1,0))</f>
        <v/>
      </c>
      <c r="K823" s="7">
        <f>A823&amp;"|"&amp;B823</f>
        <v/>
      </c>
      <c r="L823" s="13" t="inlineStr">
        <is>
          <t>Asignación del area de dirección planeación presupuestal.</t>
        </is>
      </c>
    </row>
    <row r="824">
      <c r="A824" s="7" t="inlineStr">
        <is>
          <t>sgsst-2024-1</t>
        </is>
      </c>
      <c r="B824" s="7" t="n">
        <v>2</v>
      </c>
      <c r="C824" s="7" t="inlineStr">
        <is>
          <t>SG-SST</t>
        </is>
      </c>
      <c r="D824" s="7" t="inlineStr">
        <is>
          <t>2024</t>
        </is>
      </c>
      <c r="E824" s="7" t="n">
        <v>1</v>
      </c>
      <c r="F824" s="8" t="n">
        <v>45838</v>
      </c>
      <c r="G824" s="7" t="inlineStr">
        <is>
          <t>DANIEL EDUARDO SOTO BERNAL</t>
        </is>
      </c>
      <c r="H824" s="14" t="n">
        <v>2</v>
      </c>
      <c r="I824" s="15">
        <f>IF(H824="","",H824/2)</f>
        <v/>
      </c>
      <c r="J824" s="7">
        <f>IF(H824="",0,IF(SUMPRODUCT((Seguimientos!$A$2:$A$1013=A824)*(Seguimientos!$F$2:$F$1013=F824)*(Seguimientos!$B$2:$B$1013&gt;B824)*(Seguimientos!$H$2:$H$1013&lt;&gt;""))=0,1,0))</f>
        <v/>
      </c>
      <c r="K824" s="7">
        <f>A824&amp;"|"&amp;B824</f>
        <v/>
      </c>
      <c r="L824" s="13" t="inlineStr">
        <is>
          <t>Desde el Sistema de Gestión Seguridad y Salud en el Trabajo ESG SST adjuntan 3 documentos PDF los cuales consisten en el correo de aprobación por parte de planeación presupuestal, captura de pantalla del Excel donde aprueban el presupuesto a los proyectos de inversión los cuales son: 1 Servicios prestados a las empresas y servicios de producción y 2 Servicios para la comunidad, sociales y personales, ambos por valor de $ 172.800.000 fueron los recursos asignados priorizados mediante la resolución 147, Dada en Fusagasugá a los 30 días de diciembre del 2024.</t>
        </is>
      </c>
    </row>
    <row r="825">
      <c r="A825" s="7" t="inlineStr">
        <is>
          <t>sgsst-2024-1</t>
        </is>
      </c>
      <c r="B825" s="7" t="n">
        <v>3</v>
      </c>
      <c r="C825" s="7" t="inlineStr">
        <is>
          <t>SG-SST</t>
        </is>
      </c>
      <c r="D825" s="7" t="inlineStr">
        <is>
          <t>2024</t>
        </is>
      </c>
      <c r="E825" s="7" t="n">
        <v>1</v>
      </c>
      <c r="F825" s="8" t="n">
        <v>45930</v>
      </c>
      <c r="G825" s="7" t="inlineStr">
        <is>
          <t>JOAN IMAYINNE GALVIS MORENO</t>
        </is>
      </c>
      <c r="H825" s="14" t="n">
        <v>2</v>
      </c>
      <c r="I825" s="15">
        <f>IF(H825="","",H825/2)</f>
        <v/>
      </c>
      <c r="J825" s="7">
        <f>IF(H825="",0,IF(SUMPRODUCT((Seguimientos!$A$2:$A$1013=A825)*(Seguimientos!$F$2:$F$1013=F825)*(Seguimientos!$B$2:$B$1013&gt;B825)*(Seguimientos!$H$2:$H$1013&lt;&gt;""))=0,1,0))</f>
        <v/>
      </c>
      <c r="K825" s="7">
        <f>A825&amp;"|"&amp;B825</f>
        <v/>
      </c>
      <c r="L825" s="13" t="inlineStr">
        <is>
          <t>Actividad cumplida</t>
        </is>
      </c>
    </row>
    <row r="826">
      <c r="A826" s="7" t="inlineStr">
        <is>
          <t>sgsst-2024-1</t>
        </is>
      </c>
      <c r="B826" s="7" t="n">
        <v>4</v>
      </c>
      <c r="C826" s="7" t="inlineStr">
        <is>
          <t>SG-SST</t>
        </is>
      </c>
      <c r="D826" s="7" t="inlineStr">
        <is>
          <t>2024</t>
        </is>
      </c>
      <c r="E826" s="7" t="n">
        <v>1</v>
      </c>
      <c r="F826" s="8" t="n">
        <v>46142</v>
      </c>
      <c r="G826" s="7" t="inlineStr">
        <is>
          <t>JOAN IMAYINNE GALVIS MORENO</t>
        </is>
      </c>
      <c r="H826" s="14" t="n">
        <v>2</v>
      </c>
      <c r="I826" s="15">
        <f>IF(H826="","",H826/2)</f>
        <v/>
      </c>
      <c r="J826" s="7">
        <f>IF(H826="",0,IF(SUMPRODUCT((Seguimientos!$A$2:$A$1013=A826)*(Seguimientos!$F$2:$F$1013=F826)*(Seguimientos!$B$2:$B$1013&gt;B826)*(Seguimientos!$H$2:$H$1013&lt;&gt;""))=0,1,0))</f>
        <v/>
      </c>
      <c r="K826" s="7">
        <f>A826&amp;"|"&amp;B826</f>
        <v/>
      </c>
      <c r="L826" s="13" t="inlineStr">
        <is>
          <t>Actividad cumplida</t>
        </is>
      </c>
    </row>
    <row r="827">
      <c r="A827" s="7" t="inlineStr">
        <is>
          <t>sgsst-2024-1</t>
        </is>
      </c>
      <c r="B827" s="7" t="n">
        <v>5</v>
      </c>
      <c r="C827" s="7" t="inlineStr">
        <is>
          <t>SG-SST</t>
        </is>
      </c>
      <c r="D827" s="7" t="inlineStr">
        <is>
          <t>2024</t>
        </is>
      </c>
      <c r="E827" s="7" t="n">
        <v>1</v>
      </c>
      <c r="F827" s="8" t="n">
        <v>46203</v>
      </c>
      <c r="G827" s="7" t="inlineStr">
        <is>
          <t>JOAN IMAYINNE GALVIS MORENO</t>
        </is>
      </c>
      <c r="H827" s="14" t="n">
        <v>2</v>
      </c>
      <c r="I827" s="15">
        <f>IF(H827="","",H827/2)</f>
        <v/>
      </c>
      <c r="J827" s="7">
        <f>IF(H827="",0,IF(SUMPRODUCT((Seguimientos!$A$2:$A$1013=A827)*(Seguimientos!$F$2:$F$1013=F827)*(Seguimientos!$B$2:$B$1013&gt;B827)*(Seguimientos!$H$2:$H$1013&lt;&gt;""))=0,1,0))</f>
        <v/>
      </c>
      <c r="K827" s="7">
        <f>A827&amp;"|"&amp;B827</f>
        <v/>
      </c>
      <c r="L827" s="13" t="inlineStr">
        <is>
          <t>Actividad cumplida</t>
        </is>
      </c>
    </row>
    <row r="828">
      <c r="A828" s="7" t="inlineStr">
        <is>
          <t>sgsst-2024-2</t>
        </is>
      </c>
      <c r="B828" s="7" t="n">
        <v>1</v>
      </c>
      <c r="C828" s="7" t="inlineStr">
        <is>
          <t>SG-SST</t>
        </is>
      </c>
      <c r="D828" s="7" t="inlineStr">
        <is>
          <t>2024</t>
        </is>
      </c>
      <c r="E828" s="7" t="n">
        <v>2</v>
      </c>
      <c r="F828" s="8" t="n">
        <v>45777</v>
      </c>
      <c r="G828" s="7" t="inlineStr">
        <is>
          <t>DANIEL EDUARDO SOTO BERNAL</t>
        </is>
      </c>
      <c r="H828" s="14" t="n">
        <v>2</v>
      </c>
      <c r="I828" s="15">
        <f>IF(H828="","",H828/2)</f>
        <v/>
      </c>
      <c r="J828" s="7">
        <f>IF(H828="",0,IF(SUMPRODUCT((Seguimientos!$A$2:$A$1013=A828)*(Seguimientos!$F$2:$F$1013=F828)*(Seguimientos!$B$2:$B$1013&gt;B828)*(Seguimientos!$H$2:$H$1013&lt;&gt;""))=0,1,0))</f>
        <v/>
      </c>
      <c r="K828" s="7">
        <f>A828&amp;"|"&amp;B828</f>
        <v/>
      </c>
      <c r="L828" s="13" t="inlineStr">
        <is>
          <t>Contrato del electrico para la Extensión de Chia ANEXO 284 y Seccional Ubate ANEXO 466.</t>
        </is>
      </c>
    </row>
    <row r="829">
      <c r="A829" s="7" t="inlineStr">
        <is>
          <t>sgsst-2024-2</t>
        </is>
      </c>
      <c r="B829" s="7" t="n">
        <v>2</v>
      </c>
      <c r="C829" s="7" t="inlineStr">
        <is>
          <t>SG-SST</t>
        </is>
      </c>
      <c r="D829" s="7" t="inlineStr">
        <is>
          <t>2024</t>
        </is>
      </c>
      <c r="E829" s="7" t="n">
        <v>2</v>
      </c>
      <c r="F829" s="8" t="n">
        <v>45838</v>
      </c>
      <c r="G829" s="7" t="inlineStr">
        <is>
          <t>DANIEL EDUARDO SOTO BERNAL</t>
        </is>
      </c>
      <c r="H829" s="14" t="n">
        <v>2</v>
      </c>
      <c r="I829" s="15">
        <f>IF(H829="","",H829/2)</f>
        <v/>
      </c>
      <c r="J829" s="7">
        <f>IF(H829="",0,IF(SUMPRODUCT((Seguimientos!$A$2:$A$1013=A829)*(Seguimientos!$F$2:$F$1013=F829)*(Seguimientos!$B$2:$B$1013&gt;B829)*(Seguimientos!$H$2:$H$1013&lt;&gt;""))=0,1,0))</f>
        <v/>
      </c>
      <c r="K829" s="7">
        <f>A829&amp;"|"&amp;B829</f>
        <v/>
      </c>
      <c r="L829" s="13" t="inlineStr">
        <is>
          <t>Actividad cumplida</t>
        </is>
      </c>
    </row>
    <row r="830">
      <c r="A830" s="7" t="inlineStr">
        <is>
          <t>sgsst-2024-2</t>
        </is>
      </c>
      <c r="B830" s="7" t="n">
        <v>3</v>
      </c>
      <c r="C830" s="7" t="inlineStr">
        <is>
          <t>SG-SST</t>
        </is>
      </c>
      <c r="D830" s="7" t="inlineStr">
        <is>
          <t>2024</t>
        </is>
      </c>
      <c r="E830" s="7" t="n">
        <v>2</v>
      </c>
      <c r="F830" s="8" t="n">
        <v>45930</v>
      </c>
      <c r="G830" s="7" t="inlineStr">
        <is>
          <t>JOAN IMAYINNE GALVIS MORENO</t>
        </is>
      </c>
      <c r="H830" s="14" t="n">
        <v>2</v>
      </c>
      <c r="I830" s="15">
        <f>IF(H830="","",H830/2)</f>
        <v/>
      </c>
      <c r="J830" s="7">
        <f>IF(H830="",0,IF(SUMPRODUCT((Seguimientos!$A$2:$A$1013=A830)*(Seguimientos!$F$2:$F$1013=F830)*(Seguimientos!$B$2:$B$1013&gt;B830)*(Seguimientos!$H$2:$H$1013&lt;&gt;""))=0,1,0))</f>
        <v/>
      </c>
      <c r="K830" s="7">
        <f>A830&amp;"|"&amp;B830</f>
        <v/>
      </c>
      <c r="L830" s="13" t="inlineStr">
        <is>
          <t>Actividad cumplida</t>
        </is>
      </c>
    </row>
    <row r="831">
      <c r="A831" s="7" t="inlineStr">
        <is>
          <t>sgsst-2024-2</t>
        </is>
      </c>
      <c r="B831" s="7" t="n">
        <v>4</v>
      </c>
      <c r="C831" s="7" t="inlineStr">
        <is>
          <t>SG-SST</t>
        </is>
      </c>
      <c r="D831" s="7" t="inlineStr">
        <is>
          <t>2024</t>
        </is>
      </c>
      <c r="E831" s="7" t="n">
        <v>2</v>
      </c>
      <c r="F831" s="8" t="n">
        <v>46142</v>
      </c>
      <c r="G831" s="7" t="inlineStr">
        <is>
          <t>JOAN IMAYINNE GALVIS MORENO</t>
        </is>
      </c>
      <c r="H831" s="14" t="n">
        <v>2</v>
      </c>
      <c r="I831" s="15">
        <f>IF(H831="","",H831/2)</f>
        <v/>
      </c>
      <c r="J831" s="7">
        <f>IF(H831="",0,IF(SUMPRODUCT((Seguimientos!$A$2:$A$1013=A831)*(Seguimientos!$F$2:$F$1013=F831)*(Seguimientos!$B$2:$B$1013&gt;B831)*(Seguimientos!$H$2:$H$1013&lt;&gt;""))=0,1,0))</f>
        <v/>
      </c>
      <c r="K831" s="7">
        <f>A831&amp;"|"&amp;B831</f>
        <v/>
      </c>
      <c r="L831" s="13" t="inlineStr">
        <is>
          <t>Actividad cumplida</t>
        </is>
      </c>
    </row>
    <row r="832">
      <c r="A832" s="7" t="inlineStr">
        <is>
          <t>sgsst-2024-2</t>
        </is>
      </c>
      <c r="B832" s="7" t="n">
        <v>5</v>
      </c>
      <c r="C832" s="7" t="inlineStr">
        <is>
          <t>SG-SST</t>
        </is>
      </c>
      <c r="D832" s="7" t="inlineStr">
        <is>
          <t>2024</t>
        </is>
      </c>
      <c r="E832" s="7" t="n">
        <v>2</v>
      </c>
      <c r="F832" s="8" t="n">
        <v>46203</v>
      </c>
      <c r="G832" s="7" t="inlineStr">
        <is>
          <t>JOAN IMAYINNE GALVIS MORENO</t>
        </is>
      </c>
      <c r="H832" s="14" t="n">
        <v>2</v>
      </c>
      <c r="I832" s="15">
        <f>IF(H832="","",H832/2)</f>
        <v/>
      </c>
      <c r="J832" s="7">
        <f>IF(H832="",0,IF(SUMPRODUCT((Seguimientos!$A$2:$A$1013=A832)*(Seguimientos!$F$2:$F$1013=F832)*(Seguimientos!$B$2:$B$1013&gt;B832)*(Seguimientos!$H$2:$H$1013&lt;&gt;""))=0,1,0))</f>
        <v/>
      </c>
      <c r="K832" s="7">
        <f>A832&amp;"|"&amp;B832</f>
        <v/>
      </c>
      <c r="L832" s="13" t="inlineStr">
        <is>
          <t>Actividad cumplida</t>
        </is>
      </c>
    </row>
    <row r="833">
      <c r="A833" s="7" t="inlineStr">
        <is>
          <t>sgsst-2024-3</t>
        </is>
      </c>
      <c r="B833" s="7" t="n">
        <v>1</v>
      </c>
      <c r="C833" s="7" t="inlineStr">
        <is>
          <t>SG-SST</t>
        </is>
      </c>
      <c r="D833" s="7" t="inlineStr">
        <is>
          <t>2024</t>
        </is>
      </c>
      <c r="E833" s="7" t="n">
        <v>3</v>
      </c>
      <c r="F833" s="8" t="n">
        <v>45777</v>
      </c>
      <c r="G833" s="7" t="inlineStr">
        <is>
          <t>DANIEL EDUARDO SOTO BERNAL</t>
        </is>
      </c>
      <c r="H833" s="14" t="n">
        <v>0</v>
      </c>
      <c r="I833" s="15">
        <f>IF(H833="","",H833/2)</f>
        <v/>
      </c>
      <c r="J833" s="7">
        <f>IF(H833="",0,IF(SUMPRODUCT((Seguimientos!$A$2:$A$1013=A833)*(Seguimientos!$F$2:$F$1013=F833)*(Seguimientos!$B$2:$B$1013&gt;B833)*(Seguimientos!$H$2:$H$1013&lt;&gt;""))=0,1,0))</f>
        <v/>
      </c>
      <c r="K833" s="7">
        <f>A833&amp;"|"&amp;B833</f>
        <v/>
      </c>
      <c r="L833" s="13" t="inlineStr">
        <is>
          <t>El acta de RXD aun no se encuentra firmada, se adjunta la aprobación de las decisiones.</t>
        </is>
      </c>
    </row>
    <row r="834">
      <c r="A834" s="7" t="inlineStr">
        <is>
          <t>sgsst-2024-3</t>
        </is>
      </c>
      <c r="B834" s="7" t="n">
        <v>2</v>
      </c>
      <c r="C834" s="7" t="inlineStr">
        <is>
          <t>SG-SST</t>
        </is>
      </c>
      <c r="D834" s="7" t="inlineStr">
        <is>
          <t>2024</t>
        </is>
      </c>
      <c r="E834" s="7" t="n">
        <v>3</v>
      </c>
      <c r="F834" s="8" t="n">
        <v>45838</v>
      </c>
      <c r="G834" s="7" t="inlineStr">
        <is>
          <t>DANIEL EDUARDO SOTO BERNAL</t>
        </is>
      </c>
      <c r="H834" s="14" t="n">
        <v>2</v>
      </c>
      <c r="I834" s="15">
        <f>IF(H834="","",H834/2)</f>
        <v/>
      </c>
      <c r="J834" s="7">
        <f>IF(H834="",0,IF(SUMPRODUCT((Seguimientos!$A$2:$A$1013=A834)*(Seguimientos!$F$2:$F$1013=F834)*(Seguimientos!$B$2:$B$1013&gt;B834)*(Seguimientos!$H$2:$H$1013&lt;&gt;""))=0,1,0))</f>
        <v/>
      </c>
      <c r="K834" s="7">
        <f>A834&amp;"|"&amp;B834</f>
        <v/>
      </c>
      <c r="L834" s="13" t="inlineStr">
        <is>
          <t>Desde el Sistema de Gestión Seguridad y Salud en el Trabajo ESG SST adjunta ACTA No. 011 DEL 2024-12-02 SESIÓN ORDINARIA COMITÉ SAC DICIEMBRE 2024 - REVISIÓN POR LA DIRECCIÓN debidamente suscrita donde definen si el sistema es conveniente para la universidad, si es eficaz en las acciones implementadas, si es pertinente y adecuado, y por último si la razón de ser del sistema cumple con los objetivos considerados dentro de la organización. Evidenciado con lo descrito en acta para dar cierre a esta actividad.</t>
        </is>
      </c>
    </row>
    <row r="835">
      <c r="A835" s="7" t="inlineStr">
        <is>
          <t>sgsst-2024-3</t>
        </is>
      </c>
      <c r="B835" s="7" t="n">
        <v>3</v>
      </c>
      <c r="C835" s="7" t="inlineStr">
        <is>
          <t>SG-SST</t>
        </is>
      </c>
      <c r="D835" s="7" t="inlineStr">
        <is>
          <t>2024</t>
        </is>
      </c>
      <c r="E835" s="7" t="n">
        <v>3</v>
      </c>
      <c r="F835" s="8" t="n">
        <v>45930</v>
      </c>
      <c r="G835" s="7" t="inlineStr">
        <is>
          <t>JOAN IMAYINNE GALVIS MORENO</t>
        </is>
      </c>
      <c r="H835" s="14" t="n">
        <v>2</v>
      </c>
      <c r="I835" s="15">
        <f>IF(H835="","",H835/2)</f>
        <v/>
      </c>
      <c r="J835" s="7">
        <f>IF(H835="",0,IF(SUMPRODUCT((Seguimientos!$A$2:$A$1013=A835)*(Seguimientos!$F$2:$F$1013=F835)*(Seguimientos!$B$2:$B$1013&gt;B835)*(Seguimientos!$H$2:$H$1013&lt;&gt;""))=0,1,0))</f>
        <v/>
      </c>
      <c r="K835" s="7">
        <f>A835&amp;"|"&amp;B835</f>
        <v/>
      </c>
      <c r="L835" s="13" t="inlineStr">
        <is>
          <t>Actividad cumplida</t>
        </is>
      </c>
    </row>
    <row r="836">
      <c r="A836" s="7" t="inlineStr">
        <is>
          <t>sgsst-2024-3</t>
        </is>
      </c>
      <c r="B836" s="7" t="n">
        <v>4</v>
      </c>
      <c r="C836" s="7" t="inlineStr">
        <is>
          <t>SG-SST</t>
        </is>
      </c>
      <c r="D836" s="7" t="inlineStr">
        <is>
          <t>2024</t>
        </is>
      </c>
      <c r="E836" s="7" t="n">
        <v>3</v>
      </c>
      <c r="F836" s="8" t="n">
        <v>46142</v>
      </c>
      <c r="G836" s="7" t="inlineStr">
        <is>
          <t>JOAN IMAYINNE GALVIS MORENO</t>
        </is>
      </c>
      <c r="H836" s="14" t="n">
        <v>2</v>
      </c>
      <c r="I836" s="15">
        <f>IF(H836="","",H836/2)</f>
        <v/>
      </c>
      <c r="J836" s="7">
        <f>IF(H836="",0,IF(SUMPRODUCT((Seguimientos!$A$2:$A$1013=A836)*(Seguimientos!$F$2:$F$1013=F836)*(Seguimientos!$B$2:$B$1013&gt;B836)*(Seguimientos!$H$2:$H$1013&lt;&gt;""))=0,1,0))</f>
        <v/>
      </c>
      <c r="K836" s="7">
        <f>A836&amp;"|"&amp;B836</f>
        <v/>
      </c>
      <c r="L836" s="13" t="inlineStr">
        <is>
          <t>Actividad cumplida</t>
        </is>
      </c>
    </row>
    <row r="837">
      <c r="A837" s="7" t="inlineStr">
        <is>
          <t>sgsst-2024-3</t>
        </is>
      </c>
      <c r="B837" s="7" t="n">
        <v>5</v>
      </c>
      <c r="C837" s="7" t="inlineStr">
        <is>
          <t>SG-SST</t>
        </is>
      </c>
      <c r="D837" s="7" t="inlineStr">
        <is>
          <t>2024</t>
        </is>
      </c>
      <c r="E837" s="7" t="n">
        <v>3</v>
      </c>
      <c r="F837" s="8" t="n">
        <v>46203</v>
      </c>
      <c r="G837" s="7" t="inlineStr">
        <is>
          <t>JOAN IMAYINNE GALVIS MORENO</t>
        </is>
      </c>
      <c r="H837" s="14" t="n">
        <v>2</v>
      </c>
      <c r="I837" s="15">
        <f>IF(H837="","",H837/2)</f>
        <v/>
      </c>
      <c r="J837" s="7">
        <f>IF(H837="",0,IF(SUMPRODUCT((Seguimientos!$A$2:$A$1013=A837)*(Seguimientos!$F$2:$F$1013=F837)*(Seguimientos!$B$2:$B$1013&gt;B837)*(Seguimientos!$H$2:$H$1013&lt;&gt;""))=0,1,0))</f>
        <v/>
      </c>
      <c r="K837" s="7">
        <f>A837&amp;"|"&amp;B837</f>
        <v/>
      </c>
      <c r="L837" s="13" t="inlineStr">
        <is>
          <t>Actividad cumplida</t>
        </is>
      </c>
    </row>
    <row r="838">
      <c r="A838" s="7" t="inlineStr">
        <is>
          <t>sgsst-2024-4</t>
        </is>
      </c>
      <c r="B838" s="7" t="n">
        <v>1</v>
      </c>
      <c r="C838" s="7" t="inlineStr">
        <is>
          <t>SG-SST</t>
        </is>
      </c>
      <c r="D838" s="7" t="inlineStr">
        <is>
          <t>2024</t>
        </is>
      </c>
      <c r="E838" s="7" t="n">
        <v>4</v>
      </c>
      <c r="F838" s="8" t="n">
        <v>45777</v>
      </c>
      <c r="G838" s="7" t="inlineStr">
        <is>
          <t>DANIEL EDUARDO SOTO BERNAL</t>
        </is>
      </c>
      <c r="H838" s="14" t="n">
        <v>0</v>
      </c>
      <c r="I838" s="15">
        <f>IF(H838="","",H838/2)</f>
        <v/>
      </c>
      <c r="J838" s="7">
        <f>IF(H838="",0,IF(SUMPRODUCT((Seguimientos!$A$2:$A$1013=A838)*(Seguimientos!$F$2:$F$1013=F838)*(Seguimientos!$B$2:$B$1013&gt;B838)*(Seguimientos!$H$2:$H$1013&lt;&gt;""))=0,1,0))</f>
        <v/>
      </c>
      <c r="K838" s="7">
        <f>A838&amp;"|"&amp;B838</f>
        <v/>
      </c>
      <c r="L838" s="13" t="inlineStr">
        <is>
          <t>El acta de RXD aun no se encuentra firmada, se adjunta la aprobación de las decisiones.</t>
        </is>
      </c>
    </row>
    <row r="839">
      <c r="A839" s="7" t="inlineStr">
        <is>
          <t>sgsst-2024-4</t>
        </is>
      </c>
      <c r="B839" s="7" t="n">
        <v>2</v>
      </c>
      <c r="C839" s="7" t="inlineStr">
        <is>
          <t>SG-SST</t>
        </is>
      </c>
      <c r="D839" s="7" t="inlineStr">
        <is>
          <t>2024</t>
        </is>
      </c>
      <c r="E839" s="7" t="n">
        <v>4</v>
      </c>
      <c r="F839" s="8" t="n">
        <v>45838</v>
      </c>
      <c r="G839" s="7" t="inlineStr">
        <is>
          <t>DANIEL EDUARDO SOTO BERNAL</t>
        </is>
      </c>
      <c r="H839" s="14" t="n">
        <v>2</v>
      </c>
      <c r="I839" s="15">
        <f>IF(H839="","",H839/2)</f>
        <v/>
      </c>
      <c r="J839" s="7">
        <f>IF(H839="",0,IF(SUMPRODUCT((Seguimientos!$A$2:$A$1013=A839)*(Seguimientos!$F$2:$F$1013=F839)*(Seguimientos!$B$2:$B$1013&gt;B839)*(Seguimientos!$H$2:$H$1013&lt;&gt;""))=0,1,0))</f>
        <v/>
      </c>
      <c r="K839" s="7">
        <f>A839&amp;"|"&amp;B839</f>
        <v/>
      </c>
      <c r="L839" s="13" t="inlineStr">
        <is>
          <t>Desde el Sistema de Gestión Seguridad y Salud en el Trabajo ESG SST adjunta ACTA No. 011 DEL 2024-12-02 SESIÓN ORDINARIA COMITÉ SAC DICIEMBRE 2024 - REVISIÓN POR LA DIRECCIÓN debidamente suscrita donde definen si el sistema es conveniente para la universidad, si es eficaz en las acciones implementadas, si es pertinente y adecuado, y por último si la razón de ser del sistema cumple con los objetivos considerados dentro de la organización. Evidenciado con lo descrito en acta para dar cierre a esta actividad.</t>
        </is>
      </c>
    </row>
    <row r="840">
      <c r="A840" s="7" t="inlineStr">
        <is>
          <t>sgsst-2024-4</t>
        </is>
      </c>
      <c r="B840" s="7" t="n">
        <v>3</v>
      </c>
      <c r="C840" s="7" t="inlineStr">
        <is>
          <t>SG-SST</t>
        </is>
      </c>
      <c r="D840" s="7" t="inlineStr">
        <is>
          <t>2024</t>
        </is>
      </c>
      <c r="E840" s="7" t="n">
        <v>4</v>
      </c>
      <c r="F840" s="8" t="n">
        <v>45930</v>
      </c>
      <c r="G840" s="7" t="inlineStr">
        <is>
          <t>JOAN IMAYINNE GALVIS MORENO</t>
        </is>
      </c>
      <c r="H840" s="14" t="n">
        <v>2</v>
      </c>
      <c r="I840" s="15">
        <f>IF(H840="","",H840/2)</f>
        <v/>
      </c>
      <c r="J840" s="7">
        <f>IF(H840="",0,IF(SUMPRODUCT((Seguimientos!$A$2:$A$1013=A840)*(Seguimientos!$F$2:$F$1013=F840)*(Seguimientos!$B$2:$B$1013&gt;B840)*(Seguimientos!$H$2:$H$1013&lt;&gt;""))=0,1,0))</f>
        <v/>
      </c>
      <c r="K840" s="7">
        <f>A840&amp;"|"&amp;B840</f>
        <v/>
      </c>
      <c r="L840" s="13" t="inlineStr">
        <is>
          <t>Actividad cumplida</t>
        </is>
      </c>
    </row>
    <row r="841">
      <c r="A841" s="7" t="inlineStr">
        <is>
          <t>sgsst-2024-4</t>
        </is>
      </c>
      <c r="B841" s="7" t="n">
        <v>4</v>
      </c>
      <c r="C841" s="7" t="inlineStr">
        <is>
          <t>SG-SST</t>
        </is>
      </c>
      <c r="D841" s="7" t="inlineStr">
        <is>
          <t>2024</t>
        </is>
      </c>
      <c r="E841" s="7" t="n">
        <v>4</v>
      </c>
      <c r="F841" s="8" t="n">
        <v>46142</v>
      </c>
      <c r="G841" s="7" t="inlineStr">
        <is>
          <t>JOAN IMAYINNE GALVIS MORENO</t>
        </is>
      </c>
      <c r="H841" s="14" t="n">
        <v>2</v>
      </c>
      <c r="I841" s="15">
        <f>IF(H841="","",H841/2)</f>
        <v/>
      </c>
      <c r="J841" s="7">
        <f>IF(H841="",0,IF(SUMPRODUCT((Seguimientos!$A$2:$A$1013=A841)*(Seguimientos!$F$2:$F$1013=F841)*(Seguimientos!$B$2:$B$1013&gt;B841)*(Seguimientos!$H$2:$H$1013&lt;&gt;""))=0,1,0))</f>
        <v/>
      </c>
      <c r="K841" s="7">
        <f>A841&amp;"|"&amp;B841</f>
        <v/>
      </c>
      <c r="L841" s="13" t="inlineStr">
        <is>
          <t>Actividad cumplida</t>
        </is>
      </c>
    </row>
    <row r="842">
      <c r="A842" s="7" t="inlineStr">
        <is>
          <t>sgsst-2024-4</t>
        </is>
      </c>
      <c r="B842" s="7" t="n">
        <v>5</v>
      </c>
      <c r="C842" s="7" t="inlineStr">
        <is>
          <t>SG-SST</t>
        </is>
      </c>
      <c r="D842" s="7" t="inlineStr">
        <is>
          <t>2024</t>
        </is>
      </c>
      <c r="E842" s="7" t="n">
        <v>4</v>
      </c>
      <c r="F842" s="8" t="n">
        <v>46203</v>
      </c>
      <c r="G842" s="7" t="inlineStr">
        <is>
          <t>JOAN IMAYINNE GALVIS MORENO</t>
        </is>
      </c>
      <c r="H842" s="14" t="n">
        <v>2</v>
      </c>
      <c r="I842" s="15">
        <f>IF(H842="","",H842/2)</f>
        <v/>
      </c>
      <c r="J842" s="7">
        <f>IF(H842="",0,IF(SUMPRODUCT((Seguimientos!$A$2:$A$1013=A842)*(Seguimientos!$F$2:$F$1013=F842)*(Seguimientos!$B$2:$B$1013&gt;B842)*(Seguimientos!$H$2:$H$1013&lt;&gt;""))=0,1,0))</f>
        <v/>
      </c>
      <c r="K842" s="7">
        <f>A842&amp;"|"&amp;B842</f>
        <v/>
      </c>
      <c r="L842" s="13" t="inlineStr">
        <is>
          <t>Actividad cumplida</t>
        </is>
      </c>
    </row>
    <row r="843">
      <c r="A843" s="7" t="inlineStr">
        <is>
          <t>sgsst-2024-5</t>
        </is>
      </c>
      <c r="B843" s="7" t="n">
        <v>1</v>
      </c>
      <c r="C843" s="7" t="inlineStr">
        <is>
          <t>SG-SST</t>
        </is>
      </c>
      <c r="D843" s="7" t="inlineStr">
        <is>
          <t>2024</t>
        </is>
      </c>
      <c r="E843" s="7" t="n">
        <v>5</v>
      </c>
      <c r="F843" s="8" t="n">
        <v>45777</v>
      </c>
      <c r="G843" s="7" t="inlineStr">
        <is>
          <t>DANIEL EDUARDO SOTO BERNAL</t>
        </is>
      </c>
      <c r="H843" s="14" t="n">
        <v>0</v>
      </c>
      <c r="I843" s="15">
        <f>IF(H843="","",H843/2)</f>
        <v/>
      </c>
      <c r="J843" s="7">
        <f>IF(H843="",0,IF(SUMPRODUCT((Seguimientos!$A$2:$A$1013=A843)*(Seguimientos!$F$2:$F$1013=F843)*(Seguimientos!$B$2:$B$1013&gt;B843)*(Seguimientos!$H$2:$H$1013&lt;&gt;""))=0,1,0))</f>
        <v/>
      </c>
      <c r="K843" s="7">
        <f>A843&amp;"|"&amp;B843</f>
        <v/>
      </c>
      <c r="L843" s="13" t="inlineStr">
        <is>
          <t>El acta de RXD aun no se encuentra firmada, se adjunta la aprobación de las decisiones.</t>
        </is>
      </c>
    </row>
    <row r="844">
      <c r="A844" s="7" t="inlineStr">
        <is>
          <t>sgsst-2024-5</t>
        </is>
      </c>
      <c r="B844" s="7" t="n">
        <v>2</v>
      </c>
      <c r="C844" s="7" t="inlineStr">
        <is>
          <t>SG-SST</t>
        </is>
      </c>
      <c r="D844" s="7" t="inlineStr">
        <is>
          <t>2024</t>
        </is>
      </c>
      <c r="E844" s="7" t="n">
        <v>5</v>
      </c>
      <c r="F844" s="8" t="n">
        <v>45838</v>
      </c>
      <c r="G844" s="7" t="inlineStr">
        <is>
          <t>DANIEL EDUARDO SOTO BERNAL</t>
        </is>
      </c>
      <c r="H844" s="14" t="n">
        <v>2</v>
      </c>
      <c r="I844" s="15">
        <f>IF(H844="","",H844/2)</f>
        <v/>
      </c>
      <c r="J844" s="7">
        <f>IF(H844="",0,IF(SUMPRODUCT((Seguimientos!$A$2:$A$1013=A844)*(Seguimientos!$F$2:$F$1013=F844)*(Seguimientos!$B$2:$B$1013&gt;B844)*(Seguimientos!$H$2:$H$1013&lt;&gt;""))=0,1,0))</f>
        <v/>
      </c>
      <c r="K844" s="7">
        <f>A844&amp;"|"&amp;B844</f>
        <v/>
      </c>
      <c r="L844" s="13" t="inlineStr">
        <is>
          <t>Desde el Sistema de Gestión Seguridad y Salud en el Trabajo ESG SST adjunta ACTA No. 011 DEL 2024-12-02 SESIÓN ORDINARIA COMITÉ SAC DICIEMBRE 2024 - REVISIÓN POR LA DIRECCIÓN debidamente suscrita donde definen si el sistema es conveniente para la universidad, si es eficaz en las acciones implementadas, si es pertinente y adecuado, y por último si la razón de ser del sistema cumple con los objetivos considerados dentro de la organización. Evidenciado con lo descrito en acta para dar cierre a esta actividad.</t>
        </is>
      </c>
    </row>
    <row r="845">
      <c r="A845" s="7" t="inlineStr">
        <is>
          <t>sgsst-2024-5</t>
        </is>
      </c>
      <c r="B845" s="7" t="n">
        <v>3</v>
      </c>
      <c r="C845" s="7" t="inlineStr">
        <is>
          <t>SG-SST</t>
        </is>
      </c>
      <c r="D845" s="7" t="inlineStr">
        <is>
          <t>2024</t>
        </is>
      </c>
      <c r="E845" s="7" t="n">
        <v>5</v>
      </c>
      <c r="F845" s="8" t="n">
        <v>45930</v>
      </c>
      <c r="G845" s="7" t="inlineStr">
        <is>
          <t>JOAN IMAYINNE GALVIS MORENO</t>
        </is>
      </c>
      <c r="H845" s="14" t="n">
        <v>2</v>
      </c>
      <c r="I845" s="15">
        <f>IF(H845="","",H845/2)</f>
        <v/>
      </c>
      <c r="J845" s="7">
        <f>IF(H845="",0,IF(SUMPRODUCT((Seguimientos!$A$2:$A$1013=A845)*(Seguimientos!$F$2:$F$1013=F845)*(Seguimientos!$B$2:$B$1013&gt;B845)*(Seguimientos!$H$2:$H$1013&lt;&gt;""))=0,1,0))</f>
        <v/>
      </c>
      <c r="K845" s="7">
        <f>A845&amp;"|"&amp;B845</f>
        <v/>
      </c>
      <c r="L845" s="13" t="inlineStr">
        <is>
          <t>Actividad cumplida</t>
        </is>
      </c>
    </row>
    <row r="846">
      <c r="A846" s="7" t="inlineStr">
        <is>
          <t>sgsst-2024-5</t>
        </is>
      </c>
      <c r="B846" s="7" t="n">
        <v>4</v>
      </c>
      <c r="C846" s="7" t="inlineStr">
        <is>
          <t>SG-SST</t>
        </is>
      </c>
      <c r="D846" s="7" t="inlineStr">
        <is>
          <t>2024</t>
        </is>
      </c>
      <c r="E846" s="7" t="n">
        <v>5</v>
      </c>
      <c r="F846" s="8" t="n">
        <v>46142</v>
      </c>
      <c r="G846" s="7" t="inlineStr">
        <is>
          <t>JOAN IMAYINNE GALVIS MORENO</t>
        </is>
      </c>
      <c r="H846" s="14" t="n">
        <v>2</v>
      </c>
      <c r="I846" s="15">
        <f>IF(H846="","",H846/2)</f>
        <v/>
      </c>
      <c r="J846" s="7">
        <f>IF(H846="",0,IF(SUMPRODUCT((Seguimientos!$A$2:$A$1013=A846)*(Seguimientos!$F$2:$F$1013=F846)*(Seguimientos!$B$2:$B$1013&gt;B846)*(Seguimientos!$H$2:$H$1013&lt;&gt;""))=0,1,0))</f>
        <v/>
      </c>
      <c r="K846" s="7">
        <f>A846&amp;"|"&amp;B846</f>
        <v/>
      </c>
      <c r="L846" s="13" t="inlineStr">
        <is>
          <t>Actividad cumplida</t>
        </is>
      </c>
    </row>
    <row r="847">
      <c r="A847" s="7" t="inlineStr">
        <is>
          <t>sgsst-2024-5</t>
        </is>
      </c>
      <c r="B847" s="7" t="n">
        <v>5</v>
      </c>
      <c r="C847" s="7" t="inlineStr">
        <is>
          <t>SG-SST</t>
        </is>
      </c>
      <c r="D847" s="7" t="inlineStr">
        <is>
          <t>2024</t>
        </is>
      </c>
      <c r="E847" s="7" t="n">
        <v>5</v>
      </c>
      <c r="F847" s="8" t="n">
        <v>46203</v>
      </c>
      <c r="G847" s="7" t="inlineStr">
        <is>
          <t>JOAN IMAYINNE GALVIS MORENO</t>
        </is>
      </c>
      <c r="H847" s="14" t="n">
        <v>2</v>
      </c>
      <c r="I847" s="15">
        <f>IF(H847="","",H847/2)</f>
        <v/>
      </c>
      <c r="J847" s="7">
        <f>IF(H847="",0,IF(SUMPRODUCT((Seguimientos!$A$2:$A$1013=A847)*(Seguimientos!$F$2:$F$1013=F847)*(Seguimientos!$B$2:$B$1013&gt;B847)*(Seguimientos!$H$2:$H$1013&lt;&gt;""))=0,1,0))</f>
        <v/>
      </c>
      <c r="K847" s="7">
        <f>A847&amp;"|"&amp;B847</f>
        <v/>
      </c>
      <c r="L847" s="13" t="inlineStr">
        <is>
          <t>Actividad cumplida</t>
        </is>
      </c>
    </row>
    <row r="848">
      <c r="A848" s="7" t="inlineStr">
        <is>
          <t>sgsst-2024-6</t>
        </is>
      </c>
      <c r="B848" s="7" t="n">
        <v>1</v>
      </c>
      <c r="C848" s="7" t="inlineStr">
        <is>
          <t>SG-SST</t>
        </is>
      </c>
      <c r="D848" s="7" t="inlineStr">
        <is>
          <t>2024</t>
        </is>
      </c>
      <c r="E848" s="7" t="n">
        <v>6</v>
      </c>
      <c r="F848" s="8" t="n">
        <v>45777</v>
      </c>
      <c r="G848" s="7" t="inlineStr">
        <is>
          <t>DANIEL EDUARDO SOTO BERNAL</t>
        </is>
      </c>
      <c r="H848" s="14" t="n">
        <v>0.5</v>
      </c>
      <c r="I848" s="15">
        <f>IF(H848="","",H848/2)</f>
        <v/>
      </c>
      <c r="J848" s="7">
        <f>IF(H848="",0,IF(SUMPRODUCT((Seguimientos!$A$2:$A$1013=A848)*(Seguimientos!$F$2:$F$1013=F848)*(Seguimientos!$B$2:$B$1013&gt;B848)*(Seguimientos!$H$2:$H$1013&lt;&gt;""))=0,1,0))</f>
        <v/>
      </c>
      <c r="K848" s="7">
        <f>A848&amp;"|"&amp;B848</f>
        <v/>
      </c>
      <c r="L848" s="13" t="inlineStr">
        <is>
          <t>Según proyección del plan de trabajo de ARL POSITIVA para la vigencia 2025 se tiene contemplado la asignación de un profesional químico para el acompañamiento en las actividades de promoción y prevención en riesgo químico.</t>
        </is>
      </c>
    </row>
    <row r="849">
      <c r="A849" s="7" t="inlineStr">
        <is>
          <t>sgsst-2024-6</t>
        </is>
      </c>
      <c r="B849" s="7" t="n">
        <v>2</v>
      </c>
      <c r="C849" s="7" t="inlineStr">
        <is>
          <t>SG-SST</t>
        </is>
      </c>
      <c r="D849" s="7" t="inlineStr">
        <is>
          <t>2024</t>
        </is>
      </c>
      <c r="E849" s="7" t="n">
        <v>6</v>
      </c>
      <c r="F849" s="8" t="n">
        <v>45838</v>
      </c>
      <c r="G849" s="7" t="inlineStr">
        <is>
          <t>DANIEL EDUARDO SOTO BERNAL</t>
        </is>
      </c>
      <c r="H849" s="14" t="n">
        <v>2</v>
      </c>
      <c r="I849" s="15">
        <f>IF(H849="","",H849/2)</f>
        <v/>
      </c>
      <c r="J849" s="7">
        <f>IF(H849="",0,IF(SUMPRODUCT((Seguimientos!$A$2:$A$1013=A849)*(Seguimientos!$F$2:$F$1013=F849)*(Seguimientos!$B$2:$B$1013&gt;B849)*(Seguimientos!$H$2:$H$1013&lt;&gt;""))=0,1,0))</f>
        <v/>
      </c>
      <c r="K849" s="7">
        <f>A849&amp;"|"&amp;B849</f>
        <v/>
      </c>
      <c r="L849" s="13" t="inlineStr">
        <is>
          <t>Desde el Sistema de Gestión Seguridad y Salud en el Trabajo ESG SST adjunta Certificación de fecha Santiago de Cali, julio 21 de 2025, de la EMPRESA SALUD Y SEGURIDAD OCUPACIONAL SAS aliados de la ARL positiva compañía de seguros donde manifiesta las buenas prácticas que presenta la Universidad de Cundinamarca y establece unas recomendaciones con el objetivo 0 PA 6 AC 19 Asesoría en el control de los peligros Químicos (Eliminación, Sustitución, Controles de Ingeniería, Controles Administrativo, señalización, advertencia y Elementos de Protección Personal).</t>
        </is>
      </c>
    </row>
    <row r="850">
      <c r="A850" s="7" t="inlineStr">
        <is>
          <t>sgsst-2024-6</t>
        </is>
      </c>
      <c r="B850" s="7" t="n">
        <v>3</v>
      </c>
      <c r="C850" s="7" t="inlineStr">
        <is>
          <t>SG-SST</t>
        </is>
      </c>
      <c r="D850" s="7" t="inlineStr">
        <is>
          <t>2024</t>
        </is>
      </c>
      <c r="E850" s="7" t="n">
        <v>6</v>
      </c>
      <c r="F850" s="8" t="n">
        <v>45930</v>
      </c>
      <c r="G850" s="7" t="inlineStr">
        <is>
          <t>JOAN IMAYINNE GALVIS MORENO</t>
        </is>
      </c>
      <c r="H850" s="14" t="n">
        <v>2</v>
      </c>
      <c r="I850" s="15">
        <f>IF(H850="","",H850/2)</f>
        <v/>
      </c>
      <c r="J850" s="7">
        <f>IF(H850="",0,IF(SUMPRODUCT((Seguimientos!$A$2:$A$1013=A850)*(Seguimientos!$F$2:$F$1013=F850)*(Seguimientos!$B$2:$B$1013&gt;B850)*(Seguimientos!$H$2:$H$1013&lt;&gt;""))=0,1,0))</f>
        <v/>
      </c>
      <c r="K850" s="7">
        <f>A850&amp;"|"&amp;B850</f>
        <v/>
      </c>
      <c r="L850" s="13" t="inlineStr">
        <is>
          <t>Actividad cumplida</t>
        </is>
      </c>
    </row>
    <row r="851">
      <c r="A851" s="7" t="inlineStr">
        <is>
          <t>sgsst-2024-6</t>
        </is>
      </c>
      <c r="B851" s="7" t="n">
        <v>4</v>
      </c>
      <c r="C851" s="7" t="inlineStr">
        <is>
          <t>SG-SST</t>
        </is>
      </c>
      <c r="D851" s="7" t="inlineStr">
        <is>
          <t>2024</t>
        </is>
      </c>
      <c r="E851" s="7" t="n">
        <v>6</v>
      </c>
      <c r="F851" s="8" t="n">
        <v>46142</v>
      </c>
      <c r="G851" s="7" t="inlineStr">
        <is>
          <t>JOAN IMAYINNE GALVIS MORENO</t>
        </is>
      </c>
      <c r="H851" s="14" t="n">
        <v>2</v>
      </c>
      <c r="I851" s="15">
        <f>IF(H851="","",H851/2)</f>
        <v/>
      </c>
      <c r="J851" s="7">
        <f>IF(H851="",0,IF(SUMPRODUCT((Seguimientos!$A$2:$A$1013=A851)*(Seguimientos!$F$2:$F$1013=F851)*(Seguimientos!$B$2:$B$1013&gt;B851)*(Seguimientos!$H$2:$H$1013&lt;&gt;""))=0,1,0))</f>
        <v/>
      </c>
      <c r="K851" s="7">
        <f>A851&amp;"|"&amp;B851</f>
        <v/>
      </c>
      <c r="L851" s="13" t="inlineStr">
        <is>
          <t>Actividad cumplida</t>
        </is>
      </c>
    </row>
    <row r="852">
      <c r="A852" s="7" t="inlineStr">
        <is>
          <t>sgsst-2024-6</t>
        </is>
      </c>
      <c r="B852" s="7" t="n">
        <v>5</v>
      </c>
      <c r="C852" s="7" t="inlineStr">
        <is>
          <t>SG-SST</t>
        </is>
      </c>
      <c r="D852" s="7" t="inlineStr">
        <is>
          <t>2024</t>
        </is>
      </c>
      <c r="E852" s="7" t="n">
        <v>6</v>
      </c>
      <c r="F852" s="8" t="n">
        <v>46203</v>
      </c>
      <c r="G852" s="7" t="inlineStr">
        <is>
          <t>JOAN IMAYINNE GALVIS MORENO</t>
        </is>
      </c>
      <c r="H852" s="14" t="n">
        <v>2</v>
      </c>
      <c r="I852" s="15">
        <f>IF(H852="","",H852/2)</f>
        <v/>
      </c>
      <c r="J852" s="7">
        <f>IF(H852="",0,IF(SUMPRODUCT((Seguimientos!$A$2:$A$1013=A852)*(Seguimientos!$F$2:$F$1013=F852)*(Seguimientos!$B$2:$B$1013&gt;B852)*(Seguimientos!$H$2:$H$1013&lt;&gt;""))=0,1,0))</f>
        <v/>
      </c>
      <c r="K852" s="7">
        <f>A852&amp;"|"&amp;B852</f>
        <v/>
      </c>
      <c r="L852" s="13" t="inlineStr">
        <is>
          <t>Actividad cumplida</t>
        </is>
      </c>
    </row>
    <row r="853">
      <c r="A853" s="7" t="inlineStr">
        <is>
          <t>sgsst-2024-7</t>
        </is>
      </c>
      <c r="B853" s="7" t="n">
        <v>1</v>
      </c>
      <c r="C853" s="7" t="inlineStr">
        <is>
          <t>SG-SST</t>
        </is>
      </c>
      <c r="D853" s="7" t="inlineStr">
        <is>
          <t>2024</t>
        </is>
      </c>
      <c r="E853" s="7" t="n">
        <v>7</v>
      </c>
      <c r="F853" s="8" t="n">
        <v>45777</v>
      </c>
      <c r="G853" s="7" t="inlineStr">
        <is>
          <t>DANIEL EDUARDO SOTO BERNAL</t>
        </is>
      </c>
      <c r="H853" s="14" t="n">
        <v>1</v>
      </c>
      <c r="I853" s="15">
        <f>IF(H853="","",H853/2)</f>
        <v/>
      </c>
      <c r="J853" s="7">
        <f>IF(H853="",0,IF(SUMPRODUCT((Seguimientos!$A$2:$A$1013=A853)*(Seguimientos!$F$2:$F$1013=F853)*(Seguimientos!$B$2:$B$1013&gt;B853)*(Seguimientos!$H$2:$H$1013&lt;&gt;""))=0,1,0))</f>
        <v/>
      </c>
      <c r="K853" s="7">
        <f>A853&amp;"|"&amp;B853</f>
        <v/>
      </c>
      <c r="L853" s="13" t="inlineStr">
        <is>
          <t>La OM se refiere a la contratacion del profesional para la Extension Zipaquira pero el ESG SST anexa contrato de la gestora de SG-SST Ubate ANEXO 31, en segumineto para el proximo corte.</t>
        </is>
      </c>
    </row>
    <row r="854">
      <c r="A854" s="7" t="inlineStr">
        <is>
          <t>sgsst-2024-7</t>
        </is>
      </c>
      <c r="B854" s="7" t="n">
        <v>2</v>
      </c>
      <c r="C854" s="7" t="inlineStr">
        <is>
          <t>SG-SST</t>
        </is>
      </c>
      <c r="D854" s="7" t="inlineStr">
        <is>
          <t>2024</t>
        </is>
      </c>
      <c r="E854" s="7" t="n">
        <v>7</v>
      </c>
      <c r="F854" s="8" t="n">
        <v>45838</v>
      </c>
      <c r="G854" s="7" t="inlineStr">
        <is>
          <t>DANIEL EDUARDO SOTO BERNAL</t>
        </is>
      </c>
      <c r="H854" s="14" t="n">
        <v>1</v>
      </c>
      <c r="I854" s="15">
        <f>IF(H854="","",H854/2)</f>
        <v/>
      </c>
      <c r="J854" s="7">
        <f>IF(H854="",0,IF(SUMPRODUCT((Seguimientos!$A$2:$A$1013=A854)*(Seguimientos!$F$2:$F$1013=F854)*(Seguimientos!$B$2:$B$1013&gt;B854)*(Seguimientos!$H$2:$H$1013&lt;&gt;""))=0,1,0))</f>
        <v/>
      </c>
      <c r="K854" s="7">
        <f>A854&amp;"|"&amp;B854</f>
        <v/>
      </c>
      <c r="L854" s="13" t="inlineStr">
        <is>
          <t>Desde el Sistema de Gestión Seguridad y Salud en el Trabajo ESG SST adjunta correo del Director Administrativo indicando “me permito confirmar que dentro del presupuesto asignado para la Extensión Zipaquirá, se encuentra contemplada la contratación de un profesional en Seguridad y Salud en el Trabajo Para tal asignación, comparto la proyección avalada por la oficina de Talento Humano para la Extensión Zipaquirá”</t>
        </is>
      </c>
    </row>
    <row r="855">
      <c r="A855" s="7" t="inlineStr">
        <is>
          <t>sgsst-2024-7</t>
        </is>
      </c>
      <c r="B855" s="7" t="n">
        <v>3</v>
      </c>
      <c r="C855" s="7" t="inlineStr">
        <is>
          <t>SG-SST</t>
        </is>
      </c>
      <c r="D855" s="7" t="inlineStr">
        <is>
          <t>2024</t>
        </is>
      </c>
      <c r="E855" s="7" t="n">
        <v>7</v>
      </c>
      <c r="F855" s="8" t="n">
        <v>45930</v>
      </c>
      <c r="G855" s="7" t="inlineStr">
        <is>
          <t>JOAN IMAYINNE GALVIS MORENO</t>
        </is>
      </c>
      <c r="H855" s="14" t="n">
        <v>1.5</v>
      </c>
      <c r="I855" s="15">
        <f>IF(H855="","",H855/2)</f>
        <v/>
      </c>
      <c r="J855" s="7">
        <f>IF(H855="",0,IF(SUMPRODUCT((Seguimientos!$A$2:$A$1013=A855)*(Seguimientos!$F$2:$F$1013=F855)*(Seguimientos!$B$2:$B$1013&gt;B855)*(Seguimientos!$H$2:$H$1013&lt;&gt;""))=0,1,0))</f>
        <v/>
      </c>
      <c r="K855" s="7">
        <f>A855&amp;"|"&amp;B855</f>
        <v/>
      </c>
      <c r="L855" s="13" t="inlineStr">
        <is>
          <t>A partir del 21 de noviembre, se realizara la contratación de la profesional Eliana Parra Fandiño, quien apoyará las actividades correspondientes al proceso desde la Extension Zipaquira.</t>
        </is>
      </c>
    </row>
    <row r="856">
      <c r="A856" s="7" t="inlineStr">
        <is>
          <t>sgsst-2024-7</t>
        </is>
      </c>
      <c r="B856" s="7" t="n">
        <v>4</v>
      </c>
      <c r="C856" s="7" t="inlineStr">
        <is>
          <t>SG-SST</t>
        </is>
      </c>
      <c r="D856" s="7" t="inlineStr">
        <is>
          <t>2024</t>
        </is>
      </c>
      <c r="E856" s="7" t="n">
        <v>7</v>
      </c>
      <c r="F856" s="8" t="n">
        <v>46142</v>
      </c>
      <c r="G856" s="7" t="inlineStr">
        <is>
          <t>JOAN IMAYINNE GALVIS MORENO</t>
        </is>
      </c>
      <c r="H856" s="14" t="n">
        <v>1.5</v>
      </c>
      <c r="I856" s="15">
        <f>IF(H856="","",H856/2)</f>
        <v/>
      </c>
      <c r="J856" s="7">
        <f>IF(H856="",0,IF(SUMPRODUCT((Seguimientos!$A$2:$A$1013=A856)*(Seguimientos!$F$2:$F$1013=F856)*(Seguimientos!$B$2:$B$1013&gt;B856)*(Seguimientos!$H$2:$H$1013&lt;&gt;""))=0,1,0))</f>
        <v/>
      </c>
      <c r="K856" s="7">
        <f>A856&amp;"|"&amp;B856</f>
        <v/>
      </c>
      <c r="L856" s="13" t="inlineStr">
        <is>
          <t>No se presenta avance</t>
        </is>
      </c>
    </row>
    <row r="857">
      <c r="A857" s="7" t="inlineStr">
        <is>
          <t>sgsst-2024-7</t>
        </is>
      </c>
      <c r="B857" s="7" t="n">
        <v>5</v>
      </c>
      <c r="C857" s="7" t="inlineStr">
        <is>
          <t>SG-SST</t>
        </is>
      </c>
      <c r="D857" s="7" t="inlineStr">
        <is>
          <t>2024</t>
        </is>
      </c>
      <c r="E857" s="7" t="n">
        <v>7</v>
      </c>
      <c r="F857" s="8" t="n">
        <v>46203</v>
      </c>
      <c r="G857" s="7" t="inlineStr">
        <is>
          <t>JOAN IMAYINNE GALVIS MORENO</t>
        </is>
      </c>
      <c r="H857" s="14" t="n">
        <v>2</v>
      </c>
      <c r="I857" s="15">
        <f>IF(H857="","",H857/2)</f>
        <v/>
      </c>
      <c r="J857" s="7">
        <f>IF(H857="",0,IF(SUMPRODUCT((Seguimientos!$A$2:$A$1013=A857)*(Seguimientos!$F$2:$F$1013=F857)*(Seguimientos!$B$2:$B$1013&gt;B857)*(Seguimientos!$H$2:$H$1013&lt;&gt;""))=0,1,0))</f>
        <v/>
      </c>
      <c r="K857" s="7">
        <f>A857&amp;"|"&amp;B857</f>
        <v/>
      </c>
      <c r="L857" s="13" t="inlineStr">
        <is>
          <t>Se realizo de manera efectiva la contratacion de la profesional de la Extension Zipaquira</t>
        </is>
      </c>
    </row>
    <row r="858">
      <c r="A858" s="7" t="inlineStr">
        <is>
          <t>sgsst-2024-8</t>
        </is>
      </c>
      <c r="B858" s="7" t="n">
        <v>1</v>
      </c>
      <c r="C858" s="7" t="inlineStr">
        <is>
          <t>SG-SST</t>
        </is>
      </c>
      <c r="D858" s="7" t="inlineStr">
        <is>
          <t>2024</t>
        </is>
      </c>
      <c r="E858" s="7" t="n">
        <v>8</v>
      </c>
      <c r="F858" s="8" t="n">
        <v>45777</v>
      </c>
      <c r="G858" s="7" t="inlineStr">
        <is>
          <t>DANIEL EDUARDO SOTO BERNAL</t>
        </is>
      </c>
      <c r="H858" s="14" t="n">
        <v>0</v>
      </c>
      <c r="I858" s="15">
        <f>IF(H858="","",H858/2)</f>
        <v/>
      </c>
      <c r="J858" s="7">
        <f>IF(H858="",0,IF(SUMPRODUCT((Seguimientos!$A$2:$A$1013=A858)*(Seguimientos!$F$2:$F$1013=F858)*(Seguimientos!$B$2:$B$1013&gt;B858)*(Seguimientos!$H$2:$H$1013&lt;&gt;""))=0,1,0))</f>
        <v/>
      </c>
      <c r="K858" s="7">
        <f>A858&amp;"|"&amp;B858</f>
        <v/>
      </c>
      <c r="L858" s="13" t="inlineStr">
        <is>
          <t>El acta de RXD aun no se encuentra firmada, se adjunta la aprobación de las decisiones.</t>
        </is>
      </c>
    </row>
    <row r="859">
      <c r="A859" s="7" t="inlineStr">
        <is>
          <t>sgsst-2024-8</t>
        </is>
      </c>
      <c r="B859" s="7" t="n">
        <v>2</v>
      </c>
      <c r="C859" s="7" t="inlineStr">
        <is>
          <t>SG-SST</t>
        </is>
      </c>
      <c r="D859" s="7" t="inlineStr">
        <is>
          <t>2024</t>
        </is>
      </c>
      <c r="E859" s="7" t="n">
        <v>8</v>
      </c>
      <c r="F859" s="8" t="n">
        <v>45838</v>
      </c>
      <c r="G859" s="7" t="inlineStr">
        <is>
          <t>DANIEL EDUARDO SOTO BERNAL</t>
        </is>
      </c>
      <c r="H859" s="14" t="n">
        <v>2</v>
      </c>
      <c r="I859" s="15">
        <f>IF(H859="","",H859/2)</f>
        <v/>
      </c>
      <c r="J859" s="7">
        <f>IF(H859="",0,IF(SUMPRODUCT((Seguimientos!$A$2:$A$1013=A859)*(Seguimientos!$F$2:$F$1013=F859)*(Seguimientos!$B$2:$B$1013&gt;B859)*(Seguimientos!$H$2:$H$1013&lt;&gt;""))=0,1,0))</f>
        <v/>
      </c>
      <c r="K859" s="7">
        <f>A859&amp;"|"&amp;B859</f>
        <v/>
      </c>
      <c r="L859" s="13" t="inlineStr">
        <is>
          <t>Desde el Sistema de Gestión Seguridad y Salud en el Trabajo ESG SST adjunta ACTA No. 011 DEL 2024-12-02 SESIÓN ORDINARIA COMITÉ SAC DICIEMBRE 2024 - REVISIÓN POR LA DIRECCIÓN debidamente suscrita donde definen si el sistema es conveniente para la universidad, si es eficaz en las acciones implementadas, si es pertinente y adecuado, y por último si la razón de ser del sistema cumple con los objetivos considerados dentro de la organización. Evidenciado con lo descrito en acta para dar cierre a esta actividad.</t>
        </is>
      </c>
    </row>
    <row r="860">
      <c r="A860" s="7" t="inlineStr">
        <is>
          <t>sgsst-2024-8</t>
        </is>
      </c>
      <c r="B860" s="7" t="n">
        <v>3</v>
      </c>
      <c r="C860" s="7" t="inlineStr">
        <is>
          <t>SG-SST</t>
        </is>
      </c>
      <c r="D860" s="7" t="inlineStr">
        <is>
          <t>2024</t>
        </is>
      </c>
      <c r="E860" s="7" t="n">
        <v>8</v>
      </c>
      <c r="F860" s="8" t="n">
        <v>45930</v>
      </c>
      <c r="G860" s="7" t="inlineStr">
        <is>
          <t>JOAN IMAYINNE GALVIS MORENO</t>
        </is>
      </c>
      <c r="H860" s="14" t="n">
        <v>2</v>
      </c>
      <c r="I860" s="15">
        <f>IF(H860="","",H860/2)</f>
        <v/>
      </c>
      <c r="J860" s="7">
        <f>IF(H860="",0,IF(SUMPRODUCT((Seguimientos!$A$2:$A$1013=A860)*(Seguimientos!$F$2:$F$1013=F860)*(Seguimientos!$B$2:$B$1013&gt;B860)*(Seguimientos!$H$2:$H$1013&lt;&gt;""))=0,1,0))</f>
        <v/>
      </c>
      <c r="K860" s="7">
        <f>A860&amp;"|"&amp;B860</f>
        <v/>
      </c>
      <c r="L860" s="13" t="inlineStr">
        <is>
          <t>Actividad cumplida</t>
        </is>
      </c>
    </row>
    <row r="861">
      <c r="A861" s="7" t="inlineStr">
        <is>
          <t>sgsst-2024-8</t>
        </is>
      </c>
      <c r="B861" s="7" t="n">
        <v>4</v>
      </c>
      <c r="C861" s="7" t="inlineStr">
        <is>
          <t>SG-SST</t>
        </is>
      </c>
      <c r="D861" s="7" t="inlineStr">
        <is>
          <t>2024</t>
        </is>
      </c>
      <c r="E861" s="7" t="n">
        <v>8</v>
      </c>
      <c r="F861" s="8" t="n">
        <v>46142</v>
      </c>
      <c r="G861" s="7" t="inlineStr">
        <is>
          <t>JOAN IMAYINNE GALVIS MORENO</t>
        </is>
      </c>
      <c r="H861" s="14" t="n">
        <v>2</v>
      </c>
      <c r="I861" s="15">
        <f>IF(H861="","",H861/2)</f>
        <v/>
      </c>
      <c r="J861" s="7">
        <f>IF(H861="",0,IF(SUMPRODUCT((Seguimientos!$A$2:$A$1013=A861)*(Seguimientos!$F$2:$F$1013=F861)*(Seguimientos!$B$2:$B$1013&gt;B861)*(Seguimientos!$H$2:$H$1013&lt;&gt;""))=0,1,0))</f>
        <v/>
      </c>
      <c r="K861" s="7">
        <f>A861&amp;"|"&amp;B861</f>
        <v/>
      </c>
      <c r="L861" s="13" t="inlineStr">
        <is>
          <t>Actividad cumplida</t>
        </is>
      </c>
    </row>
    <row r="862">
      <c r="A862" s="7" t="inlineStr">
        <is>
          <t>sgsst-2024-8</t>
        </is>
      </c>
      <c r="B862" s="7" t="n">
        <v>5</v>
      </c>
      <c r="C862" s="7" t="inlineStr">
        <is>
          <t>SG-SST</t>
        </is>
      </c>
      <c r="D862" s="7" t="inlineStr">
        <is>
          <t>2024</t>
        </is>
      </c>
      <c r="E862" s="7" t="n">
        <v>8</v>
      </c>
      <c r="F862" s="8" t="n">
        <v>46203</v>
      </c>
      <c r="G862" s="7" t="inlineStr">
        <is>
          <t>JOAN IMAYINNE GALVIS MORENO</t>
        </is>
      </c>
      <c r="H862" s="14" t="n">
        <v>2</v>
      </c>
      <c r="I862" s="15">
        <f>IF(H862="","",H862/2)</f>
        <v/>
      </c>
      <c r="J862" s="7">
        <f>IF(H862="",0,IF(SUMPRODUCT((Seguimientos!$A$2:$A$1013=A862)*(Seguimientos!$F$2:$F$1013=F862)*(Seguimientos!$B$2:$B$1013&gt;B862)*(Seguimientos!$H$2:$H$1013&lt;&gt;""))=0,1,0))</f>
        <v/>
      </c>
      <c r="K862" s="7">
        <f>A862&amp;"|"&amp;B862</f>
        <v/>
      </c>
      <c r="L862" s="13" t="inlineStr">
        <is>
          <t>Actividad cumplida</t>
        </is>
      </c>
    </row>
    <row r="863">
      <c r="A863" s="7" t="inlineStr">
        <is>
          <t>sgsst-2024-9</t>
        </is>
      </c>
      <c r="B863" s="7" t="n">
        <v>1</v>
      </c>
      <c r="C863" s="7" t="inlineStr">
        <is>
          <t>SG-SST</t>
        </is>
      </c>
      <c r="D863" s="7" t="inlineStr">
        <is>
          <t>2024</t>
        </is>
      </c>
      <c r="E863" s="7" t="n">
        <v>9</v>
      </c>
      <c r="F863" s="8" t="n">
        <v>45777</v>
      </c>
      <c r="G863" s="7" t="inlineStr">
        <is>
          <t>DANIEL EDUARDO SOTO BERNAL</t>
        </is>
      </c>
      <c r="H863" s="14" t="n">
        <v>0</v>
      </c>
      <c r="I863" s="15">
        <f>IF(H863="","",H863/2)</f>
        <v/>
      </c>
      <c r="J863" s="7">
        <f>IF(H863="",0,IF(SUMPRODUCT((Seguimientos!$A$2:$A$1013=A863)*(Seguimientos!$F$2:$F$1013=F863)*(Seguimientos!$B$2:$B$1013&gt;B863)*(Seguimientos!$H$2:$H$1013&lt;&gt;""))=0,1,0))</f>
        <v/>
      </c>
      <c r="K863" s="7">
        <f>A863&amp;"|"&amp;B863</f>
        <v/>
      </c>
      <c r="L863" s="13" t="inlineStr">
        <is>
          <t>De acuerdo a la instrucción dada, se esta realizando la integración de los sistemas con una sola politica.</t>
        </is>
      </c>
    </row>
    <row r="864">
      <c r="A864" s="7" t="inlineStr">
        <is>
          <t>sgsst-2024-9</t>
        </is>
      </c>
      <c r="B864" s="7" t="n">
        <v>2</v>
      </c>
      <c r="C864" s="7" t="inlineStr">
        <is>
          <t>SG-SST</t>
        </is>
      </c>
      <c r="D864" s="7" t="inlineStr">
        <is>
          <t>2024</t>
        </is>
      </c>
      <c r="E864" s="7" t="n">
        <v>9</v>
      </c>
      <c r="F864" s="8" t="n">
        <v>45838</v>
      </c>
      <c r="G864" s="7" t="inlineStr">
        <is>
          <t>DANIEL EDUARDO SOTO BERNAL</t>
        </is>
      </c>
      <c r="H864" s="14" t="n">
        <v>1</v>
      </c>
      <c r="I864" s="15">
        <f>IF(H864="","",H864/2)</f>
        <v/>
      </c>
      <c r="J864" s="7">
        <f>IF(H864="",0,IF(SUMPRODUCT((Seguimientos!$A$2:$A$1013=A864)*(Seguimientos!$F$2:$F$1013=F864)*(Seguimientos!$B$2:$B$1013&gt;B864)*(Seguimientos!$H$2:$H$1013&lt;&gt;""))=0,1,0))</f>
        <v/>
      </c>
      <c r="K864" s="7">
        <f>A864&amp;"|"&amp;B864</f>
        <v/>
      </c>
      <c r="L864" s="13" t="inlineStr">
        <is>
          <t>Desde el Sistema de Gestión Seguridad y Salud en el Trabajo ESG SST adjunta Peón de trazabilidad dirigida al señor rector con el siguiente texto: “Reciba un cordial saludo de la oficina de Calidad, deseándole que se encuentre bien de salud junto con su familia, en atención a lo conversado el día de ayer, nos permitimos compartir la proyección del artículo correspondiente al lineamiento (política) de la Resolución que se está elaborando para los Sistemas Integrados de Gestión, con el fin de que pueda revisarlo y realizar los aportes que considere pertinentes.”</t>
        </is>
      </c>
    </row>
    <row r="865">
      <c r="A865" s="7" t="inlineStr">
        <is>
          <t>sgsst-2024-9</t>
        </is>
      </c>
      <c r="B865" s="7" t="n">
        <v>3</v>
      </c>
      <c r="C865" s="7" t="inlineStr">
        <is>
          <t>SG-SST</t>
        </is>
      </c>
      <c r="D865" s="7" t="inlineStr">
        <is>
          <t>2024</t>
        </is>
      </c>
      <c r="E865" s="7" t="n">
        <v>9</v>
      </c>
      <c r="F865" s="8" t="n">
        <v>45930</v>
      </c>
      <c r="G865" s="7" t="inlineStr">
        <is>
          <t>JOAN IMAYINNE GALVIS MORENO</t>
        </is>
      </c>
      <c r="H865" s="14" t="n">
        <v>1</v>
      </c>
      <c r="I865" s="15">
        <f>IF(H865="","",H865/2)</f>
        <v/>
      </c>
      <c r="J865" s="7">
        <f>IF(H865="",0,IF(SUMPRODUCT((Seguimientos!$A$2:$A$1013=A865)*(Seguimientos!$F$2:$F$1013=F865)*(Seguimientos!$B$2:$B$1013&gt;B865)*(Seguimientos!$H$2:$H$1013&lt;&gt;""))=0,1,0))</f>
        <v/>
      </c>
      <c r="K865" s="7">
        <f>A865&amp;"|"&amp;B865</f>
        <v/>
      </c>
      <c r="L865" s="13" t="inlineStr">
        <is>
          <t>Como sugerencia de la alta dirección la política debe ser integrada con todos los sistemas de gestión, se adjunta el correo con las recomendaciones del señor rector donde realiza la verificación y ajustes a la polít ica de los sistemas integrados.</t>
        </is>
      </c>
    </row>
    <row r="866">
      <c r="A866" s="7" t="inlineStr">
        <is>
          <t>sgsst-2024-9</t>
        </is>
      </c>
      <c r="B866" s="7" t="n">
        <v>4</v>
      </c>
      <c r="C866" s="7" t="inlineStr">
        <is>
          <t>SG-SST</t>
        </is>
      </c>
      <c r="D866" s="7" t="inlineStr">
        <is>
          <t>2024</t>
        </is>
      </c>
      <c r="E866" s="7" t="n">
        <v>9</v>
      </c>
      <c r="F866" s="8" t="n">
        <v>46142</v>
      </c>
      <c r="G866" s="7" t="inlineStr">
        <is>
          <t>JOAN IMAYINNE GALVIS MORENO</t>
        </is>
      </c>
      <c r="H866" s="14" t="n">
        <v>1</v>
      </c>
      <c r="I866" s="15">
        <f>IF(H866="","",H866/2)</f>
        <v/>
      </c>
      <c r="J866" s="7">
        <f>IF(H866="",0,IF(SUMPRODUCT((Seguimientos!$A$2:$A$1013=A866)*(Seguimientos!$F$2:$F$1013=F866)*(Seguimientos!$B$2:$B$1013&gt;B866)*(Seguimientos!$H$2:$H$1013&lt;&gt;""))=0,1,0))</f>
        <v/>
      </c>
      <c r="K866" s="7">
        <f>A866&amp;"|"&amp;B866</f>
        <v/>
      </c>
      <c r="L866" s="13" t="inlineStr">
        <is>
          <t>No se presenta avance</t>
        </is>
      </c>
    </row>
    <row r="867">
      <c r="A867" s="7" t="inlineStr">
        <is>
          <t>sgsst-2024-9</t>
        </is>
      </c>
      <c r="B867" s="7" t="n">
        <v>5</v>
      </c>
      <c r="C867" s="7" t="inlineStr">
        <is>
          <t>SG-SST</t>
        </is>
      </c>
      <c r="D867" s="7" t="inlineStr">
        <is>
          <t>2024</t>
        </is>
      </c>
      <c r="E867" s="7" t="n">
        <v>9</v>
      </c>
      <c r="F867" s="8" t="n">
        <v>46203</v>
      </c>
      <c r="G867" s="7" t="inlineStr">
        <is>
          <t>JOAN IMAYINNE GALVIS MORENO</t>
        </is>
      </c>
      <c r="H867" s="14" t="n">
        <v>1</v>
      </c>
      <c r="I867" s="15">
        <f>IF(H867="","",H867/2)</f>
        <v/>
      </c>
      <c r="J867" s="7">
        <f>IF(H867="",0,IF(SUMPRODUCT((Seguimientos!$A$2:$A$1013=A867)*(Seguimientos!$F$2:$F$1013=F867)*(Seguimientos!$B$2:$B$1013&gt;B867)*(Seguimientos!$H$2:$H$1013&lt;&gt;""))=0,1,0))</f>
        <v/>
      </c>
      <c r="K867" s="7">
        <f>A867&amp;"|"&amp;B867</f>
        <v/>
      </c>
      <c r="L867" s="13" t="inlineStr">
        <is>
          <t>No se presenta avance</t>
        </is>
      </c>
    </row>
    <row r="868">
      <c r="A868" s="7" t="inlineStr">
        <is>
          <t>sgsst-2024-10</t>
        </is>
      </c>
      <c r="B868" s="7" t="n">
        <v>1</v>
      </c>
      <c r="C868" s="7" t="inlineStr">
        <is>
          <t>SG-SST</t>
        </is>
      </c>
      <c r="D868" s="7" t="inlineStr">
        <is>
          <t>2024</t>
        </is>
      </c>
      <c r="E868" s="7" t="n">
        <v>10</v>
      </c>
      <c r="F868" s="8" t="n">
        <v>45777</v>
      </c>
      <c r="G868" s="7" t="inlineStr">
        <is>
          <t>DANIEL EDUARDO SOTO BERNAL</t>
        </is>
      </c>
      <c r="H868" s="14" t="n">
        <v>1.5</v>
      </c>
      <c r="I868" s="15">
        <f>IF(H868="","",H868/2)</f>
        <v/>
      </c>
      <c r="J868" s="7">
        <f>IF(H868="",0,IF(SUMPRODUCT((Seguimientos!$A$2:$A$1013=A868)*(Seguimientos!$F$2:$F$1013=F868)*(Seguimientos!$B$2:$B$1013&gt;B868)*(Seguimientos!$H$2:$H$1013&lt;&gt;""))=0,1,0))</f>
        <v/>
      </c>
      <c r="K868" s="7">
        <f>A868&amp;"|"&amp;B868</f>
        <v/>
      </c>
      <c r="L868" s="13" t="inlineStr">
        <is>
          <t>Mesas de trabajo con los programas, registros de asistencia, se esta construyendo una matriz de EPP para estudiantes de acuerdo a los riesgos y peligros.</t>
        </is>
      </c>
    </row>
    <row r="869">
      <c r="A869" s="7" t="inlineStr">
        <is>
          <t>sgsst-2024-10</t>
        </is>
      </c>
      <c r="B869" s="7" t="n">
        <v>2</v>
      </c>
      <c r="C869" s="7" t="inlineStr">
        <is>
          <t>SG-SST</t>
        </is>
      </c>
      <c r="D869" s="7" t="inlineStr">
        <is>
          <t>2024</t>
        </is>
      </c>
      <c r="E869" s="7" t="n">
        <v>10</v>
      </c>
      <c r="F869" s="8" t="n">
        <v>45838</v>
      </c>
      <c r="G869" s="7" t="inlineStr">
        <is>
          <t>DANIEL EDUARDO SOTO BERNAL</t>
        </is>
      </c>
      <c r="H869" s="14" t="n">
        <v>2</v>
      </c>
      <c r="I869" s="15">
        <f>IF(H869="","",H869/2)</f>
        <v/>
      </c>
      <c r="J869" s="7">
        <f>IF(H869="",0,IF(SUMPRODUCT((Seguimientos!$A$2:$A$1013=A869)*(Seguimientos!$F$2:$F$1013=F869)*(Seguimientos!$B$2:$B$1013&gt;B869)*(Seguimientos!$H$2:$H$1013&lt;&gt;""))=0,1,0))</f>
        <v/>
      </c>
      <c r="K869" s="7">
        <f>A869&amp;"|"&amp;B869</f>
        <v/>
      </c>
      <c r="L869" s="13" t="inlineStr">
        <is>
          <t>El Sistema de Gestión Seguridad y Salud en el Trabajo ESG SST adjunta Documento PDF el cual tiene el Acta 02 del 17 – 04 - 2024 al igual que registros de asistencia donde se manejan asuntos como: Mesa de trabajos de vacunación, mesa de trabajo elementos de protección personal, socialización de emergencia riesgos y peligros a diferentes grupos de estudiantes y en espacios académicos. Cumpliendo con la actividad.</t>
        </is>
      </c>
    </row>
    <row r="870">
      <c r="A870" s="7" t="inlineStr">
        <is>
          <t>sgsst-2024-10</t>
        </is>
      </c>
      <c r="B870" s="7" t="n">
        <v>3</v>
      </c>
      <c r="C870" s="7" t="inlineStr">
        <is>
          <t>SG-SST</t>
        </is>
      </c>
      <c r="D870" s="7" t="inlineStr">
        <is>
          <t>2024</t>
        </is>
      </c>
      <c r="E870" s="7" t="n">
        <v>10</v>
      </c>
      <c r="F870" s="8" t="n">
        <v>45930</v>
      </c>
      <c r="G870" s="7" t="inlineStr">
        <is>
          <t>JOAN IMAYINNE GALVIS MORENO</t>
        </is>
      </c>
      <c r="H870" s="14" t="n">
        <v>2</v>
      </c>
      <c r="I870" s="15">
        <f>IF(H870="","",H870/2)</f>
        <v/>
      </c>
      <c r="J870" s="7">
        <f>IF(H870="",0,IF(SUMPRODUCT((Seguimientos!$A$2:$A$1013=A870)*(Seguimientos!$F$2:$F$1013=F870)*(Seguimientos!$B$2:$B$1013&gt;B870)*(Seguimientos!$H$2:$H$1013&lt;&gt;""))=0,1,0))</f>
        <v/>
      </c>
      <c r="K870" s="7">
        <f>A870&amp;"|"&amp;B870</f>
        <v/>
      </c>
      <c r="L870" s="13" t="inlineStr">
        <is>
          <t>Actividad cumplida</t>
        </is>
      </c>
    </row>
    <row r="871">
      <c r="A871" s="7" t="inlineStr">
        <is>
          <t>sgsst-2024-10</t>
        </is>
      </c>
      <c r="B871" s="7" t="n">
        <v>4</v>
      </c>
      <c r="C871" s="7" t="inlineStr">
        <is>
          <t>SG-SST</t>
        </is>
      </c>
      <c r="D871" s="7" t="inlineStr">
        <is>
          <t>2024</t>
        </is>
      </c>
      <c r="E871" s="7" t="n">
        <v>10</v>
      </c>
      <c r="F871" s="8" t="n">
        <v>46142</v>
      </c>
      <c r="G871" s="7" t="inlineStr">
        <is>
          <t>JOAN IMAYINNE GALVIS MORENO</t>
        </is>
      </c>
      <c r="H871" s="14" t="n">
        <v>2</v>
      </c>
      <c r="I871" s="15">
        <f>IF(H871="","",H871/2)</f>
        <v/>
      </c>
      <c r="J871" s="7">
        <f>IF(H871="",0,IF(SUMPRODUCT((Seguimientos!$A$2:$A$1013=A871)*(Seguimientos!$F$2:$F$1013=F871)*(Seguimientos!$B$2:$B$1013&gt;B871)*(Seguimientos!$H$2:$H$1013&lt;&gt;""))=0,1,0))</f>
        <v/>
      </c>
      <c r="K871" s="7">
        <f>A871&amp;"|"&amp;B871</f>
        <v/>
      </c>
      <c r="L871" s="13" t="inlineStr">
        <is>
          <t>Actividad cumplida</t>
        </is>
      </c>
    </row>
    <row r="872">
      <c r="A872" s="7" t="inlineStr">
        <is>
          <t>sgsst-2024-10</t>
        </is>
      </c>
      <c r="B872" s="7" t="n">
        <v>5</v>
      </c>
      <c r="C872" s="7" t="inlineStr">
        <is>
          <t>SG-SST</t>
        </is>
      </c>
      <c r="D872" s="7" t="inlineStr">
        <is>
          <t>2024</t>
        </is>
      </c>
      <c r="E872" s="7" t="n">
        <v>10</v>
      </c>
      <c r="F872" s="8" t="n">
        <v>46203</v>
      </c>
      <c r="G872" s="7" t="inlineStr">
        <is>
          <t>JOAN IMAYINNE GALVIS MORENO</t>
        </is>
      </c>
      <c r="H872" s="14" t="n">
        <v>2</v>
      </c>
      <c r="I872" s="15">
        <f>IF(H872="","",H872/2)</f>
        <v/>
      </c>
      <c r="J872" s="7">
        <f>IF(H872="",0,IF(SUMPRODUCT((Seguimientos!$A$2:$A$1013=A872)*(Seguimientos!$F$2:$F$1013=F872)*(Seguimientos!$B$2:$B$1013&gt;B872)*(Seguimientos!$H$2:$H$1013&lt;&gt;""))=0,1,0))</f>
        <v/>
      </c>
      <c r="K872" s="7">
        <f>A872&amp;"|"&amp;B872</f>
        <v/>
      </c>
      <c r="L872" s="13" t="inlineStr">
        <is>
          <t>Actividad cumplida</t>
        </is>
      </c>
    </row>
    <row r="873">
      <c r="A873" s="7" t="inlineStr">
        <is>
          <t>sgsst-2024-11</t>
        </is>
      </c>
      <c r="B873" s="7" t="n">
        <v>1</v>
      </c>
      <c r="C873" s="7" t="inlineStr">
        <is>
          <t>SG-SST</t>
        </is>
      </c>
      <c r="D873" s="7" t="inlineStr">
        <is>
          <t>2024</t>
        </is>
      </c>
      <c r="E873" s="7" t="n">
        <v>11</v>
      </c>
      <c r="F873" s="8" t="n">
        <v>45777</v>
      </c>
      <c r="G873" s="7" t="inlineStr">
        <is>
          <t>DANIEL EDUARDO SOTO BERNAL</t>
        </is>
      </c>
      <c r="H873" s="14" t="n">
        <v>0</v>
      </c>
      <c r="I873" s="15">
        <f>IF(H873="","",H873/2)</f>
        <v/>
      </c>
      <c r="J873" s="7">
        <f>IF(H873="",0,IF(SUMPRODUCT((Seguimientos!$A$2:$A$1013=A873)*(Seguimientos!$F$2:$F$1013=F873)*(Seguimientos!$B$2:$B$1013&gt;B873)*(Seguimientos!$H$2:$H$1013&lt;&gt;""))=0,1,0))</f>
        <v/>
      </c>
      <c r="K873" s="7">
        <f>A873&amp;"|"&amp;B873</f>
        <v/>
      </c>
      <c r="L873" s="13" t="inlineStr">
        <is>
          <t>Asignación del area de dirección planeación presupuestal.</t>
        </is>
      </c>
    </row>
    <row r="874">
      <c r="A874" s="7" t="inlineStr">
        <is>
          <t>sgsst-2024-11</t>
        </is>
      </c>
      <c r="B874" s="7" t="n">
        <v>2</v>
      </c>
      <c r="C874" s="7" t="inlineStr">
        <is>
          <t>SG-SST</t>
        </is>
      </c>
      <c r="D874" s="7" t="inlineStr">
        <is>
          <t>2024</t>
        </is>
      </c>
      <c r="E874" s="7" t="n">
        <v>11</v>
      </c>
      <c r="F874" s="8" t="n">
        <v>45838</v>
      </c>
      <c r="G874" s="7" t="inlineStr">
        <is>
          <t>DANIEL EDUARDO SOTO BERNAL</t>
        </is>
      </c>
      <c r="H874" s="14" t="n">
        <v>2</v>
      </c>
      <c r="I874" s="15">
        <f>IF(H874="","",H874/2)</f>
        <v/>
      </c>
      <c r="J874" s="7">
        <f>IF(H874="",0,IF(SUMPRODUCT((Seguimientos!$A$2:$A$1013=A874)*(Seguimientos!$F$2:$F$1013=F874)*(Seguimientos!$B$2:$B$1013&gt;B874)*(Seguimientos!$H$2:$H$1013&lt;&gt;""))=0,1,0))</f>
        <v/>
      </c>
      <c r="K874" s="7">
        <f>A874&amp;"|"&amp;B874</f>
        <v/>
      </c>
      <c r="L874" s="13" t="inlineStr">
        <is>
          <t>Por temas de cambio climático se aumentaron las temperaturas en la Seccional de Girardot donde se hizo una inversión en aires acondicionados para el tema de confort térmico en la aulas de clase. Adjuntan contrato F-CTCV-281 DE 2024 ADQUIRIR AIRES ACONDICIONADOS PARA LOS ESPACIOS ACADÉMICOS Y ADMINISTRATIVOS DE LA UNIVERSIDAD DE CUNDINAMARCA, SECCIONAL GIRARDOT.</t>
        </is>
      </c>
    </row>
    <row r="875">
      <c r="A875" s="7" t="inlineStr">
        <is>
          <t>sgsst-2024-11</t>
        </is>
      </c>
      <c r="B875" s="7" t="n">
        <v>3</v>
      </c>
      <c r="C875" s="7" t="inlineStr">
        <is>
          <t>SG-SST</t>
        </is>
      </c>
      <c r="D875" s="7" t="inlineStr">
        <is>
          <t>2024</t>
        </is>
      </c>
      <c r="E875" s="7" t="n">
        <v>11</v>
      </c>
      <c r="F875" s="8" t="n">
        <v>45930</v>
      </c>
      <c r="G875" s="7" t="inlineStr">
        <is>
          <t>JOAN IMAYINNE GALVIS MORENO</t>
        </is>
      </c>
      <c r="H875" s="14" t="n">
        <v>2</v>
      </c>
      <c r="I875" s="15">
        <f>IF(H875="","",H875/2)</f>
        <v/>
      </c>
      <c r="J875" s="7">
        <f>IF(H875="",0,IF(SUMPRODUCT((Seguimientos!$A$2:$A$1013=A875)*(Seguimientos!$F$2:$F$1013=F875)*(Seguimientos!$B$2:$B$1013&gt;B875)*(Seguimientos!$H$2:$H$1013&lt;&gt;""))=0,1,0))</f>
        <v/>
      </c>
      <c r="K875" s="7">
        <f>A875&amp;"|"&amp;B875</f>
        <v/>
      </c>
      <c r="L875" s="13" t="inlineStr">
        <is>
          <t>Actividad cumplida</t>
        </is>
      </c>
    </row>
    <row r="876">
      <c r="A876" s="7" t="inlineStr">
        <is>
          <t>sgsst-2024-11</t>
        </is>
      </c>
      <c r="B876" s="7" t="n">
        <v>4</v>
      </c>
      <c r="C876" s="7" t="inlineStr">
        <is>
          <t>SG-SST</t>
        </is>
      </c>
      <c r="D876" s="7" t="inlineStr">
        <is>
          <t>2024</t>
        </is>
      </c>
      <c r="E876" s="7" t="n">
        <v>11</v>
      </c>
      <c r="F876" s="8" t="n">
        <v>46142</v>
      </c>
      <c r="G876" s="7" t="inlineStr">
        <is>
          <t>JOAN IMAYINNE GALVIS MORENO</t>
        </is>
      </c>
      <c r="H876" s="14" t="n">
        <v>2</v>
      </c>
      <c r="I876" s="15">
        <f>IF(H876="","",H876/2)</f>
        <v/>
      </c>
      <c r="J876" s="7">
        <f>IF(H876="",0,IF(SUMPRODUCT((Seguimientos!$A$2:$A$1013=A876)*(Seguimientos!$F$2:$F$1013=F876)*(Seguimientos!$B$2:$B$1013&gt;B876)*(Seguimientos!$H$2:$H$1013&lt;&gt;""))=0,1,0))</f>
        <v/>
      </c>
      <c r="K876" s="7">
        <f>A876&amp;"|"&amp;B876</f>
        <v/>
      </c>
      <c r="L876" s="13" t="inlineStr">
        <is>
          <t>Actividad cumplida</t>
        </is>
      </c>
    </row>
    <row r="877">
      <c r="A877" s="7" t="inlineStr">
        <is>
          <t>sgsst-2024-11</t>
        </is>
      </c>
      <c r="B877" s="7" t="n">
        <v>5</v>
      </c>
      <c r="C877" s="7" t="inlineStr">
        <is>
          <t>SG-SST</t>
        </is>
      </c>
      <c r="D877" s="7" t="inlineStr">
        <is>
          <t>2024</t>
        </is>
      </c>
      <c r="E877" s="7" t="n">
        <v>11</v>
      </c>
      <c r="F877" s="8" t="n">
        <v>46203</v>
      </c>
      <c r="G877" s="7" t="inlineStr">
        <is>
          <t>JOAN IMAYINNE GALVIS MORENO</t>
        </is>
      </c>
      <c r="H877" s="14" t="n">
        <v>2</v>
      </c>
      <c r="I877" s="15">
        <f>IF(H877="","",H877/2)</f>
        <v/>
      </c>
      <c r="J877" s="7">
        <f>IF(H877="",0,IF(SUMPRODUCT((Seguimientos!$A$2:$A$1013=A877)*(Seguimientos!$F$2:$F$1013=F877)*(Seguimientos!$B$2:$B$1013&gt;B877)*(Seguimientos!$H$2:$H$1013&lt;&gt;""))=0,1,0))</f>
        <v/>
      </c>
      <c r="K877" s="7">
        <f>A877&amp;"|"&amp;B877</f>
        <v/>
      </c>
      <c r="L877" s="13" t="inlineStr">
        <is>
          <t>Actividad cumplida</t>
        </is>
      </c>
    </row>
    <row r="878">
      <c r="A878" s="7" t="inlineStr">
        <is>
          <t>sgsst-2025-1</t>
        </is>
      </c>
      <c r="B878" s="7" t="n">
        <v>1</v>
      </c>
      <c r="C878" s="7" t="inlineStr">
        <is>
          <t>SG-SST</t>
        </is>
      </c>
      <c r="D878" s="7" t="inlineStr">
        <is>
          <t>2025</t>
        </is>
      </c>
      <c r="E878" s="7" t="n">
        <v>1</v>
      </c>
      <c r="F878" s="8" t="n">
        <v>46142</v>
      </c>
      <c r="G878" s="7" t="inlineStr">
        <is>
          <t>JOAN IMAYINNE GALVIS MORENO</t>
        </is>
      </c>
      <c r="H878" s="14" t="n">
        <v>0</v>
      </c>
      <c r="I878" s="15">
        <f>IF(H878="","",H878/2)</f>
        <v/>
      </c>
      <c r="J878" s="7">
        <f>IF(H878="",0,IF(SUMPRODUCT((Seguimientos!$A$2:$A$1013=A878)*(Seguimientos!$F$2:$F$1013=F878)*(Seguimientos!$B$2:$B$1013&gt;B878)*(Seguimientos!$H$2:$H$1013&lt;&gt;""))=0,1,0))</f>
        <v/>
      </c>
      <c r="K878" s="7">
        <f>A878&amp;"|"&amp;B878</f>
        <v/>
      </c>
      <c r="L878" s="13" t="inlineStr">
        <is>
          <t>Aun no se cuenta con evidencias</t>
        </is>
      </c>
    </row>
    <row r="879">
      <c r="A879" s="7" t="inlineStr">
        <is>
          <t>sgsst-2025-1</t>
        </is>
      </c>
      <c r="B879" s="7" t="n">
        <v>2</v>
      </c>
      <c r="C879" s="7" t="inlineStr">
        <is>
          <t>SG-SST</t>
        </is>
      </c>
      <c r="D879" s="7" t="inlineStr">
        <is>
          <t>2025</t>
        </is>
      </c>
      <c r="E879" s="7" t="n">
        <v>1</v>
      </c>
      <c r="F879" s="8" t="n">
        <v>46295</v>
      </c>
      <c r="G879" s="7" t="inlineStr">
        <is>
          <t>JOAN IMAYINNE GALVIS MORENO</t>
        </is>
      </c>
      <c r="H879" s="14" t="n">
        <v>1</v>
      </c>
      <c r="I879" s="15">
        <f>IF(H879="","",H879/2)</f>
        <v/>
      </c>
      <c r="J879" s="7">
        <f>IF(H879="",0,IF(SUMPRODUCT((Seguimientos!$A$2:$A$1013=A879)*(Seguimientos!$F$2:$F$1013=F879)*(Seguimientos!$B$2:$B$1013&gt;B879)*(Seguimientos!$H$2:$H$1013&lt;&gt;""))=0,1,0))</f>
        <v/>
      </c>
      <c r="K879" s="7">
        <f>A879&amp;"|"&amp;B879</f>
        <v/>
      </c>
      <c r="L879" s="13" t="inlineStr">
        <is>
          <t>Se evidencia avance</t>
        </is>
      </c>
    </row>
    <row r="880">
      <c r="A880" s="7" t="inlineStr">
        <is>
          <t>sgsst-2025-2</t>
        </is>
      </c>
      <c r="B880" s="7" t="n">
        <v>1</v>
      </c>
      <c r="C880" s="7" t="inlineStr">
        <is>
          <t>SG-SST</t>
        </is>
      </c>
      <c r="D880" s="7" t="inlineStr">
        <is>
          <t>2025</t>
        </is>
      </c>
      <c r="E880" s="7" t="n">
        <v>2</v>
      </c>
      <c r="F880" s="8" t="n">
        <v>46142</v>
      </c>
      <c r="G880" s="7" t="inlineStr">
        <is>
          <t>JOAN IMAYINNE GALVIS MORENO</t>
        </is>
      </c>
      <c r="H880" s="14" t="n">
        <v>2</v>
      </c>
      <c r="I880" s="15">
        <f>IF(H880="","",H880/2)</f>
        <v/>
      </c>
      <c r="J880" s="7">
        <f>IF(H880="",0,IF(SUMPRODUCT((Seguimientos!$A$2:$A$1013=A880)*(Seguimientos!$F$2:$F$1013=F880)*(Seguimientos!$B$2:$B$1013&gt;B880)*(Seguimientos!$H$2:$H$1013&lt;&gt;""))=0,1,0))</f>
        <v/>
      </c>
      <c r="K880" s="7">
        <f>A880&amp;"|"&amp;B880</f>
        <v/>
      </c>
      <c r="L880" s="13" t="inlineStr">
        <is>
          <t>La Vicerrectoría Administrativa aprobó la contratación de cinco (5) profesionales responsables del manejo de los laboratorios adscritos a la Unidad de Apoyo Académico, quienes iniciaron labores el 19 de enero. Con estas contrataciones se da cumplimiento a la oportunidad de mejora aprobada, toda vez que los contratos de este personal fueron asociados a fechas de inicio acordes con el calendario académico. Lo anterior permitió adelantar oportunamente la vinculación del personal, garantizando tiempo suficiente para los procesos de organización y adecuación de las sustancias químicas en los laboratorios.</t>
        </is>
      </c>
    </row>
    <row r="881">
      <c r="A881" s="7" t="inlineStr">
        <is>
          <t>sgsst-2025-2</t>
        </is>
      </c>
      <c r="B881" s="7" t="n">
        <v>2</v>
      </c>
      <c r="C881" s="7" t="inlineStr">
        <is>
          <t>SG-SST</t>
        </is>
      </c>
      <c r="D881" s="7" t="inlineStr">
        <is>
          <t>2025</t>
        </is>
      </c>
      <c r="E881" s="7" t="n">
        <v>2</v>
      </c>
      <c r="F881" s="8" t="n">
        <v>46295</v>
      </c>
      <c r="G881" s="7" t="inlineStr">
        <is>
          <t>JOAN IMAYINNE GALVIS MORENO</t>
        </is>
      </c>
      <c r="H881" s="14" t="n">
        <v>2</v>
      </c>
      <c r="I881" s="15">
        <f>IF(H881="","",H881/2)</f>
        <v/>
      </c>
      <c r="J881" s="7">
        <f>IF(H881="",0,IF(SUMPRODUCT((Seguimientos!$A$2:$A$1013=A881)*(Seguimientos!$F$2:$F$1013=F881)*(Seguimientos!$B$2:$B$1013&gt;B881)*(Seguimientos!$H$2:$H$1013&lt;&gt;""))=0,1,0))</f>
        <v/>
      </c>
      <c r="K881" s="7">
        <f>A881&amp;"|"&amp;B881</f>
        <v/>
      </c>
      <c r="L881" s="13" t="inlineStr">
        <is>
          <t>La Vicerrectoría Administrativa aprobó la contratación de cinco (5) profesionales responsables del manejo de los laboratorios adscritos a la Unidad de Apoyo Académico, quienes iniciaron labores el 19 de enero. Con estas contrataciones se da cumplimiento a la oportunidad de mejora aprobada, toda vez que los contratos de este personal fueron asociados a fechas de inicio acordes con el calendario académico. Lo anterior permitió adelantar oportunamente la vinculación del personal, garantizando tiempo suficiente para los procesos de organización y adecuación de las sustancias químicas en los laboratorios.</t>
        </is>
      </c>
    </row>
    <row r="882">
      <c r="A882" s="7" t="inlineStr">
        <is>
          <t>sgsst-2025-3</t>
        </is>
      </c>
      <c r="B882" s="7" t="n">
        <v>1</v>
      </c>
      <c r="C882" s="7" t="inlineStr">
        <is>
          <t>SG-SST</t>
        </is>
      </c>
      <c r="D882" s="7" t="inlineStr">
        <is>
          <t>2025</t>
        </is>
      </c>
      <c r="E882" s="7" t="n">
        <v>3</v>
      </c>
      <c r="F882" s="8" t="n">
        <v>46142</v>
      </c>
      <c r="G882" s="7" t="inlineStr">
        <is>
          <t>JOAN IMAYINNE GALVIS MORENO</t>
        </is>
      </c>
      <c r="H882" s="14" t="n">
        <v>2</v>
      </c>
      <c r="I882" s="15">
        <f>IF(H882="","",H882/2)</f>
        <v/>
      </c>
      <c r="J882" s="7">
        <f>IF(H882="",0,IF(SUMPRODUCT((Seguimientos!$A$2:$A$1013=A882)*(Seguimientos!$F$2:$F$1013=F882)*(Seguimientos!$B$2:$B$1013&gt;B882)*(Seguimientos!$H$2:$H$1013&lt;&gt;""))=0,1,0))</f>
        <v/>
      </c>
      <c r="K882" s="7">
        <f>A882&amp;"|"&amp;B882</f>
        <v/>
      </c>
      <c r="L882" s="13" t="inlineStr">
        <is>
          <t>En el acta de revisión por la dirección quedó plasmada la manifestación de la Alta Dirección frente a la conveniencia del SG-SST, evidenciada en el numeral 2 “Revisión por la Dirección de los Sistemas Integrados de Gestión de la Universidad de Cundinamarca”, conforme al numeral 9.3 de las normas ISO adoptadas por la Universidad. Esta alineada a la necesidades reales de la Universidad de Cundinamarca</t>
        </is>
      </c>
    </row>
    <row r="883">
      <c r="A883" s="7" t="inlineStr">
        <is>
          <t>sgsst-2025-3</t>
        </is>
      </c>
      <c r="B883" s="7" t="n">
        <v>2</v>
      </c>
      <c r="C883" s="7" t="inlineStr">
        <is>
          <t>SG-SST</t>
        </is>
      </c>
      <c r="D883" s="7" t="inlineStr">
        <is>
          <t>2025</t>
        </is>
      </c>
      <c r="E883" s="7" t="n">
        <v>3</v>
      </c>
      <c r="F883" s="8" t="n">
        <v>46295</v>
      </c>
      <c r="G883" s="7" t="inlineStr">
        <is>
          <t>JOAN IMAYINNE GALVIS MORENO</t>
        </is>
      </c>
      <c r="H883" s="14" t="n">
        <v>2</v>
      </c>
      <c r="I883" s="15">
        <f>IF(H883="","",H883/2)</f>
        <v/>
      </c>
      <c r="J883" s="7">
        <f>IF(H883="",0,IF(SUMPRODUCT((Seguimientos!$A$2:$A$1013=A883)*(Seguimientos!$F$2:$F$1013=F883)*(Seguimientos!$B$2:$B$1013&gt;B883)*(Seguimientos!$H$2:$H$1013&lt;&gt;""))=0,1,0))</f>
        <v/>
      </c>
      <c r="K883" s="7">
        <f>A883&amp;"|"&amp;B883</f>
        <v/>
      </c>
      <c r="L883" s="13" t="inlineStr">
        <is>
          <t>En el acta de revisión por la dirección quedó plasmada la manifestación de la Alta Dirección frente a la conveniencia del SG-SST, evidenciada en el numeral 2 “Revisión por la Dirección de los Sistemas Integrados de Gestión de la Universidad de Cundinamarca”, conforme al numeral 9.3 de las normas ISO adoptadas por la Universidad. Esta alineada a la necesidades reales de la Universidad de Cundinamarca</t>
        </is>
      </c>
    </row>
    <row r="884">
      <c r="A884" s="7" t="inlineStr">
        <is>
          <t>sgsst-2025-4</t>
        </is>
      </c>
      <c r="B884" s="7" t="n">
        <v>1</v>
      </c>
      <c r="C884" s="7" t="inlineStr">
        <is>
          <t>SG-SST</t>
        </is>
      </c>
      <c r="D884" s="7" t="inlineStr">
        <is>
          <t>2025</t>
        </is>
      </c>
      <c r="E884" s="7" t="n">
        <v>4</v>
      </c>
      <c r="F884" s="8" t="n">
        <v>46142</v>
      </c>
      <c r="G884" s="7" t="inlineStr">
        <is>
          <t>JOAN IMAYINNE GALVIS MORENO</t>
        </is>
      </c>
      <c r="H884" s="14" t="n">
        <v>2</v>
      </c>
      <c r="I884" s="15">
        <f>IF(H884="","",H884/2)</f>
        <v/>
      </c>
      <c r="J884" s="7">
        <f>IF(H884="",0,IF(SUMPRODUCT((Seguimientos!$A$2:$A$1013=A884)*(Seguimientos!$F$2:$F$1013=F884)*(Seguimientos!$B$2:$B$1013&gt;B884)*(Seguimientos!$H$2:$H$1013&lt;&gt;""))=0,1,0))</f>
        <v/>
      </c>
      <c r="K884" s="7">
        <f>A884&amp;"|"&amp;B884</f>
        <v/>
      </c>
      <c r="L884" s="13" t="inlineStr">
        <is>
          <t>En el acta de revisión por la dirección quedó plasmada la manifestación de la Alta Dirección frente a la eficaciadel SG-SST, evidenciada en el numeral 2 “Revisión por la Dirección de los Sistemas Integrados de Gestión de la Universidad de Cundinamarca”, conforme al numeral 9.3 de las normas ISO adoptadas por la Universidad. Esta alineada a la necesidades reales de la Universidad de Cundinamarca</t>
        </is>
      </c>
    </row>
    <row r="885">
      <c r="A885" s="7" t="inlineStr">
        <is>
          <t>sgsst-2025-4</t>
        </is>
      </c>
      <c r="B885" s="7" t="n">
        <v>2</v>
      </c>
      <c r="C885" s="7" t="inlineStr">
        <is>
          <t>SG-SST</t>
        </is>
      </c>
      <c r="D885" s="7" t="inlineStr">
        <is>
          <t>2025</t>
        </is>
      </c>
      <c r="E885" s="7" t="n">
        <v>4</v>
      </c>
      <c r="F885" s="8" t="n">
        <v>46295</v>
      </c>
      <c r="G885" s="7" t="inlineStr">
        <is>
          <t>JOAN IMAYINNE GALVIS MORENO</t>
        </is>
      </c>
      <c r="H885" s="14" t="n">
        <v>2</v>
      </c>
      <c r="I885" s="15">
        <f>IF(H885="","",H885/2)</f>
        <v/>
      </c>
      <c r="J885" s="7">
        <f>IF(H885="",0,IF(SUMPRODUCT((Seguimientos!$A$2:$A$1013=A885)*(Seguimientos!$F$2:$F$1013=F885)*(Seguimientos!$B$2:$B$1013&gt;B885)*(Seguimientos!$H$2:$H$1013&lt;&gt;""))=0,1,0))</f>
        <v/>
      </c>
      <c r="K885" s="7">
        <f>A885&amp;"|"&amp;B885</f>
        <v/>
      </c>
      <c r="L885" s="13" t="inlineStr">
        <is>
          <t>En el acta de revisión por la dirección quedó plasmada la manifestación de la Alta Dirección frente a la eficaciadel SG-SST, evidenciada en el numeral 2 “Revisión por la Dirección de los Sistemas Integrados de Gestión de la Universidad de Cundinamarca”, conforme al numeral 9.3 de las normas ISO adoptadas por la Universidad. Esta alineada a la necesidades reales de la Universidad de Cundinamarca</t>
        </is>
      </c>
    </row>
    <row r="886">
      <c r="A886" s="7" t="inlineStr">
        <is>
          <t>sgsst-2025-5</t>
        </is>
      </c>
      <c r="B886" s="7" t="n">
        <v>1</v>
      </c>
      <c r="C886" s="7" t="inlineStr">
        <is>
          <t>SG-SST</t>
        </is>
      </c>
      <c r="D886" s="7" t="inlineStr">
        <is>
          <t>2025</t>
        </is>
      </c>
      <c r="E886" s="7" t="n">
        <v>5</v>
      </c>
      <c r="F886" s="8" t="n">
        <v>46142</v>
      </c>
      <c r="G886" s="7" t="inlineStr">
        <is>
          <t>JOAN IMAYINNE GALVIS MORENO</t>
        </is>
      </c>
      <c r="H886" s="14" t="n">
        <v>2</v>
      </c>
      <c r="I886" s="15">
        <f>IF(H886="","",H886/2)</f>
        <v/>
      </c>
      <c r="J886" s="7">
        <f>IF(H886="",0,IF(SUMPRODUCT((Seguimientos!$A$2:$A$1013=A886)*(Seguimientos!$F$2:$F$1013=F886)*(Seguimientos!$B$2:$B$1013&gt;B886)*(Seguimientos!$H$2:$H$1013&lt;&gt;""))=0,1,0))</f>
        <v/>
      </c>
      <c r="K886" s="7">
        <f>A886&amp;"|"&amp;B886</f>
        <v/>
      </c>
      <c r="L886" s="13" t="inlineStr">
        <is>
          <t>En el acta de revisión por la dirección quedó plasmada la manifestación de la Alta Dirección frente a la pertinencia del SG-SST, evidenciada en el numeral 2 “Revisión por la Dirección de los Sistemas Integrados de Gestión de la Universidad de Cundinamarca”, conforme al numeral 9.3 de las normas ISO adoptadas por la Universidad. Esta alineada con los objetivos a la necesidades reales de la Universidad de Cundinamarca</t>
        </is>
      </c>
    </row>
    <row r="887">
      <c r="A887" s="7" t="inlineStr">
        <is>
          <t>sgsst-2025-5</t>
        </is>
      </c>
      <c r="B887" s="7" t="n">
        <v>2</v>
      </c>
      <c r="C887" s="7" t="inlineStr">
        <is>
          <t>SG-SST</t>
        </is>
      </c>
      <c r="D887" s="7" t="inlineStr">
        <is>
          <t>2025</t>
        </is>
      </c>
      <c r="E887" s="7" t="n">
        <v>5</v>
      </c>
      <c r="F887" s="8" t="n">
        <v>46295</v>
      </c>
      <c r="G887" s="7" t="inlineStr">
        <is>
          <t>JOAN IMAYINNE GALVIS MORENO</t>
        </is>
      </c>
      <c r="H887" s="14" t="n">
        <v>2</v>
      </c>
      <c r="I887" s="15">
        <f>IF(H887="","",H887/2)</f>
        <v/>
      </c>
      <c r="J887" s="7">
        <f>IF(H887="",0,IF(SUMPRODUCT((Seguimientos!$A$2:$A$1013=A887)*(Seguimientos!$F$2:$F$1013=F887)*(Seguimientos!$B$2:$B$1013&gt;B887)*(Seguimientos!$H$2:$H$1013&lt;&gt;""))=0,1,0))</f>
        <v/>
      </c>
      <c r="K887" s="7">
        <f>A887&amp;"|"&amp;B887</f>
        <v/>
      </c>
      <c r="L887" s="13" t="inlineStr">
        <is>
          <t>En el acta de revisión por la dirección quedó plasmada la manifestación de la Alta Dirección frente a la pertinencia del SG-SST, evidenciada en el numeral 2 “Revisión por la Dirección de los Sistemas Integrados de Gestión de la Universidad de Cundinamarca”, conforme al numeral 9.3 de las normas ISO adoptadas por la Universidad. Esta alineada con los objetivos a la necesidades reales de la Universidad de Cundinamarca</t>
        </is>
      </c>
    </row>
    <row r="888">
      <c r="A888" s="7" t="inlineStr">
        <is>
          <t>sgsst-2025-6</t>
        </is>
      </c>
      <c r="B888" s="7" t="n">
        <v>1</v>
      </c>
      <c r="C888" s="7" t="inlineStr">
        <is>
          <t>SG-SST</t>
        </is>
      </c>
      <c r="D888" s="7" t="inlineStr">
        <is>
          <t>2025</t>
        </is>
      </c>
      <c r="E888" s="7" t="n">
        <v>6</v>
      </c>
      <c r="F888" s="8" t="n">
        <v>46142</v>
      </c>
      <c r="G888" s="7" t="inlineStr">
        <is>
          <t>JOAN IMAYINNE GALVIS MORENO</t>
        </is>
      </c>
      <c r="H888" s="14" t="n">
        <v>2</v>
      </c>
      <c r="I888" s="15">
        <f>IF(H888="","",H888/2)</f>
        <v/>
      </c>
      <c r="J888" s="7">
        <f>IF(H888="",0,IF(SUMPRODUCT((Seguimientos!$A$2:$A$1013=A888)*(Seguimientos!$F$2:$F$1013=F888)*(Seguimientos!$B$2:$B$1013&gt;B888)*(Seguimientos!$H$2:$H$1013&lt;&gt;""))=0,1,0))</f>
        <v/>
      </c>
      <c r="K888" s="7">
        <f>A888&amp;"|"&amp;B888</f>
        <v/>
      </c>
      <c r="L888" s="13" t="inlineStr">
        <is>
          <t>En el acta de revisión por la dirección quedó plasmada la manifestación de la Alta Dirección frente a la pertinencia del SG-SST, evidenciada en el numeral 2 “Revisión por la Dirección de los Sistemas Integrados de Gestión de la Universidad de Cundinamarca”, conforme al numeral 9.3 de las normas ISO adoptadas por la Universidad. Esta alineada con los objetivos los cuales van en coherencia con el plan estrategico y acciones operativas.</t>
        </is>
      </c>
    </row>
    <row r="889">
      <c r="A889" s="7" t="inlineStr">
        <is>
          <t>sgsst-2025-6</t>
        </is>
      </c>
      <c r="B889" s="7" t="n">
        <v>2</v>
      </c>
      <c r="C889" s="7" t="inlineStr">
        <is>
          <t>SG-SST</t>
        </is>
      </c>
      <c r="D889" s="7" t="inlineStr">
        <is>
          <t>2025</t>
        </is>
      </c>
      <c r="E889" s="7" t="n">
        <v>6</v>
      </c>
      <c r="F889" s="8" t="n">
        <v>46295</v>
      </c>
      <c r="G889" s="7" t="inlineStr">
        <is>
          <t>JOAN IMAYINNE GALVIS MORENO</t>
        </is>
      </c>
      <c r="H889" s="14" t="n">
        <v>2</v>
      </c>
      <c r="I889" s="15">
        <f>IF(H889="","",H889/2)</f>
        <v/>
      </c>
      <c r="J889" s="7">
        <f>IF(H889="",0,IF(SUMPRODUCT((Seguimientos!$A$2:$A$1013=A889)*(Seguimientos!$F$2:$F$1013=F889)*(Seguimientos!$B$2:$B$1013&gt;B889)*(Seguimientos!$H$2:$H$1013&lt;&gt;""))=0,1,0))</f>
        <v/>
      </c>
      <c r="K889" s="7">
        <f>A889&amp;"|"&amp;B889</f>
        <v/>
      </c>
      <c r="L889" s="13" t="inlineStr">
        <is>
          <t>En el acta de revisión por la dirección quedó plasmada la manifestación de la Alta Dirección frente a la pertinencia del SG-SST, evidenciada en el numeral 2 “Revisión por la Dirección de los Sistemas Integrados de Gestión de la Universidad de Cundinamarca”, conforme al numeral 9.3 de las normas ISO adoptadas por la Universidad. Esta alineada con los objetivos los cuales van en coherencia con el plan estrategico y acciones operativas.</t>
        </is>
      </c>
    </row>
    <row r="890">
      <c r="A890" s="7" t="inlineStr">
        <is>
          <t>sgsst-2025-7</t>
        </is>
      </c>
      <c r="B890" s="7" t="n">
        <v>1</v>
      </c>
      <c r="C890" s="7" t="inlineStr">
        <is>
          <t>SG-SST</t>
        </is>
      </c>
      <c r="D890" s="7" t="inlineStr">
        <is>
          <t>2025</t>
        </is>
      </c>
      <c r="E890" s="7" t="n">
        <v>7</v>
      </c>
      <c r="F890" s="8" t="n">
        <v>46142</v>
      </c>
      <c r="G890" s="7" t="inlineStr">
        <is>
          <t>JOAN IMAYINNE GALVIS MORENO</t>
        </is>
      </c>
      <c r="H890" s="14" t="n">
        <v>0</v>
      </c>
      <c r="I890" s="15">
        <f>IF(H890="","",H890/2)</f>
        <v/>
      </c>
      <c r="J890" s="7">
        <f>IF(H890="",0,IF(SUMPRODUCT((Seguimientos!$A$2:$A$1013=A890)*(Seguimientos!$F$2:$F$1013=F890)*(Seguimientos!$B$2:$B$1013&gt;B890)*(Seguimientos!$H$2:$H$1013&lt;&gt;""))=0,1,0))</f>
        <v/>
      </c>
      <c r="K890" s="7">
        <f>A890&amp;"|"&amp;B890</f>
        <v/>
      </c>
      <c r="L890" s="13" t="inlineStr">
        <is>
          <t>En revision de quien es el reponsable toda vez que se expreso que no es responsabilidad del Sistema de Gestion de Seguridad y Salud en el Trabajo</t>
        </is>
      </c>
    </row>
    <row r="891">
      <c r="A891" s="7" t="inlineStr">
        <is>
          <t>sgsi-2023-1</t>
        </is>
      </c>
      <c r="B891" s="7" t="n">
        <v>1</v>
      </c>
      <c r="C891" s="7" t="inlineStr">
        <is>
          <t>SGSI</t>
        </is>
      </c>
      <c r="D891" s="7" t="inlineStr">
        <is>
          <t>2023</t>
        </is>
      </c>
      <c r="E891" s="7" t="n">
        <v>1</v>
      </c>
      <c r="F891" s="8" t="n">
        <v>45405</v>
      </c>
      <c r="G891" s="7" t="inlineStr">
        <is>
          <t>DANIEL EDUARDO SOTO BERNAL</t>
        </is>
      </c>
      <c r="H891" s="14" t="n">
        <v>1</v>
      </c>
      <c r="I891" s="15">
        <f>IF(H891="","",H891/2)</f>
        <v/>
      </c>
      <c r="J891" s="7">
        <f>IF(H891="",0,IF(SUMPRODUCT((Seguimientos!$A$2:$A$1013=A891)*(Seguimientos!$F$2:$F$1013=F891)*(Seguimientos!$B$2:$B$1013&gt;B891)*(Seguimientos!$H$2:$H$1013&lt;&gt;""))=0,1,0))</f>
        <v/>
      </c>
      <c r="K891" s="7">
        <f>A891&amp;"|"&amp;B891</f>
        <v/>
      </c>
      <c r="L891" s="13" t="inlineStr">
        <is>
          <t>El Sistema de Gestión de Seguridad de la Información – SGSI, realizo la gestión pertinente para la contratación del servicio de asesoría para la transición de la Norma ISO/IEC27001:2013 a la versión ISO/IEC27001:2022 con todos los requerimientos y especificaciones técnicas necesarios para fortalecer y dar continuidad a la implementación del Sistema de Gestión de Seguridad de la Información - SGSI al interior de la Universidad de Cundinamarca, con miras a una auditoria de certificación del sistema de gestión, sin embargo, teniendo en cuenta que en reiteradas ocasiones fue devuelto el CDP desde la Dirección de Bienes y Servicios, se solicito la anulación y no fue posible la contratación. Por lo anterior, y en aras de continuar con el proceso de transición de la norma, para la vigencia 2024 se realizó la contratación de la Orden de Prestación de Servicios F-OPS No. 040 del 2024 con objeto “Prestar servicios profesionales para orientar la transición del Sistema de Gestión de Seguridad la Información SGSI, de la norma ISO 27001:2013 a la norma ISO 27001:2022, en la Universidad de Cundinamarca”, quien con su conocimiento y experiencia apoyara al SGSI en establecer en el IPA 2024 la ruta para hacer la transición de la norma 2013 a la 2022, desde el contexto de los controles del Anexo A, el cual se implementara a partir del IIPA 2024. En la sesión de evidencias se encuentran el cronograma de actividades establecido de manera articulada entre el Sistema de Gestión de Seguridad de la Información – SGSI y la OPS No. 040 y el acta No. 004 denominada “Acta de Inicio y socialización del plan de trabajo F-OPS No. 040 del 2024” producto de la mesa de trabajo que se llevo a cabo el día 14 de marzo de 2024 formalizada.</t>
        </is>
      </c>
    </row>
    <row r="892">
      <c r="A892" s="7" t="inlineStr">
        <is>
          <t>sgsi-2023-1</t>
        </is>
      </c>
      <c r="B892" s="7" t="n">
        <v>2</v>
      </c>
      <c r="C892" s="7" t="inlineStr">
        <is>
          <t>SGSI</t>
        </is>
      </c>
      <c r="D892" s="7" t="inlineStr">
        <is>
          <t>2023</t>
        </is>
      </c>
      <c r="E892" s="7" t="n">
        <v>1</v>
      </c>
      <c r="F892" s="8" t="n">
        <v>45497</v>
      </c>
      <c r="G892" s="7" t="inlineStr">
        <is>
          <t>DANIEL EDUARDO SOTO BERNAL</t>
        </is>
      </c>
      <c r="H892" s="14" t="n">
        <v>1.5</v>
      </c>
      <c r="I892" s="15">
        <f>IF(H892="","",H892/2)</f>
        <v/>
      </c>
      <c r="J892" s="7">
        <f>IF(H892="",0,IF(SUMPRODUCT((Seguimientos!$A$2:$A$1013=A892)*(Seguimientos!$F$2:$F$1013=F892)*(Seguimientos!$B$2:$B$1013&gt;B892)*(Seguimientos!$H$2:$H$1013&lt;&gt;""))=0,1,0))</f>
        <v/>
      </c>
      <c r="K892" s="7">
        <f>A892&amp;"|"&amp;B892</f>
        <v/>
      </c>
      <c r="L892" s="13" t="inlineStr">
        <is>
          <t>El Sistema de Gestión de Seguridad de la Información - SGSI, está realizando la equivalencia entre los deberes de la Norma ISO 27001:2013 y la nueva versión ISO 27001:2022 y los controles del Anexo A de la norma en mención, este diagnóstico permitirá identificar las diferencias, esto con el objetivo de establecer una estrategia que asegurará la transición de la norma a nivel de implementación, en los procesos y/o áreas a nivel institucional. Por otra parte, desde el SGSI, trazara una ruta para la implementación de la nueva versión de la Norma ISO 27001:2022, dando alcance a las fases de planificación, diseño, implementación y la mejora continua al interior de la Universidad de Cundinamarca, donde se continuara con el Plan de Sensibilización y Entrenamiento de los funcionarios (Administrativos y Docentes), quienes apropiaran los conceptos de los nuevos controles especificados en el Anexo A, según la nueva clasificación (Organizacionales, Personas, Físicos, Tecnológicos). Esta estrategia integral garantizará que el SGSI no solo cumpla con la implementación de la nueva versión de la norma ISO 27001, sino que también fortalecerá los conocimientos de los gestores para proteger los activos de información de una manera efectiva.</t>
        </is>
      </c>
    </row>
    <row r="893">
      <c r="A893" s="7" t="inlineStr">
        <is>
          <t>sgsi-2023-1</t>
        </is>
      </c>
      <c r="B893" s="7" t="n">
        <v>3</v>
      </c>
      <c r="C893" s="7" t="inlineStr">
        <is>
          <t>SGSI</t>
        </is>
      </c>
      <c r="D893" s="7" t="inlineStr">
        <is>
          <t>2023</t>
        </is>
      </c>
      <c r="E893" s="7" t="n">
        <v>1</v>
      </c>
      <c r="F893" s="8" t="n">
        <v>45583</v>
      </c>
      <c r="G893" s="7" t="inlineStr">
        <is>
          <t>DANIEL EDUARDO SOTO BERNAL</t>
        </is>
      </c>
      <c r="H893" s="14" t="n">
        <v>1.5</v>
      </c>
      <c r="I893" s="15">
        <f>IF(H893="","",H893/2)</f>
        <v/>
      </c>
      <c r="J893" s="7">
        <f>IF(H893="",0,IF(SUMPRODUCT((Seguimientos!$A$2:$A$1013=A893)*(Seguimientos!$F$2:$F$1013=F893)*(Seguimientos!$B$2:$B$1013&gt;B893)*(Seguimientos!$H$2:$H$1013&lt;&gt;""))=0,1,0))</f>
        <v/>
      </c>
      <c r="K893" s="7">
        <f>A893&amp;"|"&amp;B893</f>
        <v/>
      </c>
      <c r="L893" s="13" t="inlineStr">
        <is>
          <t>Comprendiendo la importancia de iniciar el proceso de transición de la Norma ISO 27001:2013 a la versión 27001:2022, el Sistema de Gestión de Seguridad de la Información – SGSI, realizó la elaboración del cronograma de actividades denominado “Cronograma Transición de la Norma ISO 27001-2013 a la Norma ISO 27001-2022”, con el propósito de realizar un diagnóstico y determinar el grado de implementación de los 93 controles del Anexo A de la Norma ISO 27001:2022. Así mismo, se realizará la implementación de los nuevos controles denominados Organizacionales, de Personas, Físicos y Tecnológicos, los cuales están orientado a Seguridad de la Información, Protección de Datos y Ciberseguridad. Por último, se socializará el avance de la implementación de los controles de la Norma en mención en las comisiones correspondientes. En la sesión de evidencias se encuentra el cronograma de actividades en mención.</t>
        </is>
      </c>
    </row>
    <row r="894">
      <c r="A894" s="7" t="inlineStr">
        <is>
          <t>sgsi-2023-1</t>
        </is>
      </c>
      <c r="B894" s="7" t="n">
        <v>4</v>
      </c>
      <c r="C894" s="7" t="inlineStr">
        <is>
          <t>SGSI</t>
        </is>
      </c>
      <c r="D894" s="7" t="inlineStr">
        <is>
          <t>2023</t>
        </is>
      </c>
      <c r="E894" s="7" t="n">
        <v>1</v>
      </c>
      <c r="F894" s="8" t="n">
        <v>45777</v>
      </c>
      <c r="G894" s="7" t="inlineStr">
        <is>
          <t>DANIEL EDUARDO SOTO BERNAL</t>
        </is>
      </c>
      <c r="H894" s="14" t="n">
        <v>1.5</v>
      </c>
      <c r="I894" s="15">
        <f>IF(H894="","",H894/2)</f>
        <v/>
      </c>
      <c r="J894" s="7">
        <f>IF(H894="",0,IF(SUMPRODUCT((Seguimientos!$A$2:$A$1013=A894)*(Seguimientos!$F$2:$F$1013=F894)*(Seguimientos!$B$2:$B$1013&gt;B894)*(Seguimientos!$H$2:$H$1013&lt;&gt;""))=0,1,0))</f>
        <v/>
      </c>
      <c r="K894" s="7">
        <f>A894&amp;"|"&amp;B894</f>
        <v/>
      </c>
      <c r="L894" s="13" t="inlineStr">
        <is>
          <t>El Sistema de Gestión de Seguridad de la Información – SGSI ha realizado acciones en aras de lograr la transición de la Norma ISO 27001:2013 a la versión 27001:2022. De acuerdo con el fin de propiciar la mejora continua de la eficacia, eficiencia y efectividad en el desempeño de los procesos y conformidad del producto y/o servicio, del Sistema de Gestión de Seguridad de la Información SGSI de la Universidad de Cundinamarca de acuerdo con los requisitos establecidos en la Norma ISO 27001:2022 en el numeral 9.2 Auditoría Interna, para la vigencia 2025 se realizó la contratación de la Orden Contractual de Servicios F-OCS-040 de 2025 con objeto “CONTRATAR EL SERVICIO DE AUDITORÍA INTERNA III PARA EL SISTEMA DE GESTIÓN DE SEGURIDAD DE LA INFORMACIÓN – SGSI BAJO LA NORMA ISO27001:2022, EL MODELO DE SEGURIDAD Y PRIVACIDAD DE LA INFORMACIÓN, EL CUMPLIMIENTO DE LA LEY 1581 DE 2012 Y DEMAS NORMATIVIDAD REGLAMENTARIA PARA LA VIGENCIA 2025”. De igual forma la ingeniera María del Pilar Delgado Rodríguez - Coordinadora del Sistema de Gestión de Seguridad de la Información – SGSI, realizo la certificación “Auditor Interno ISO/IEC 27001:2022 Sistemas de Gestión Seguridad de la Información e ISO/IEC 27005:2022 Gestión de riesgos de SI”. En la sesión de evidencias se encuentran los documentos ABSr099 Aceptación Orden Contractual, el cronograma de actividades, la agenda de auditoría y el certificado en mención.</t>
        </is>
      </c>
    </row>
    <row r="895">
      <c r="A895" s="7" t="inlineStr">
        <is>
          <t>sgsi-2023-1</t>
        </is>
      </c>
      <c r="B895" s="7" t="n">
        <v>5</v>
      </c>
      <c r="C895" s="7" t="inlineStr">
        <is>
          <t>SGSI</t>
        </is>
      </c>
      <c r="D895" s="7" t="inlineStr">
        <is>
          <t>2023</t>
        </is>
      </c>
      <c r="E895" s="7" t="n">
        <v>1</v>
      </c>
      <c r="F895" s="8" t="n">
        <v>45868</v>
      </c>
      <c r="G895" s="7" t="inlineStr">
        <is>
          <t>DANIEL EDUARDO SOTO BERNAL</t>
        </is>
      </c>
      <c r="H895" s="14" t="n">
        <v>2</v>
      </c>
      <c r="I895" s="15">
        <f>IF(H895="","",H895/2)</f>
        <v/>
      </c>
      <c r="J895" s="7">
        <f>IF(H895="",0,IF(SUMPRODUCT((Seguimientos!$A$2:$A$1013=A895)*(Seguimientos!$F$2:$F$1013=F895)*(Seguimientos!$B$2:$B$1013&gt;B895)*(Seguimientos!$H$2:$H$1013&lt;&gt;""))=0,1,0))</f>
        <v/>
      </c>
      <c r="K895" s="7">
        <f>A895&amp;"|"&amp;B895</f>
        <v/>
      </c>
      <c r="L895" s="13" t="inlineStr">
        <is>
          <t>La ingeniera María del Pilar Delgado Rodríguez - Coordinadora del Sistema de Gestión de Seguridad de la Información – SGSI, realizo la certificación “Auditor Interno ISO/IEC 27001:2022 Sistemas de Gestión Seguridad de la Información e ISO/IEC 27005:2022 Gestión de riesgos de SI”.</t>
        </is>
      </c>
    </row>
    <row r="896">
      <c r="A896" s="7" t="inlineStr">
        <is>
          <t>sgsi-2023-1</t>
        </is>
      </c>
      <c r="B896" s="7" t="n">
        <v>6</v>
      </c>
      <c r="C896" s="7" t="inlineStr">
        <is>
          <t>SGSI</t>
        </is>
      </c>
      <c r="D896" s="7" t="inlineStr">
        <is>
          <t>2023</t>
        </is>
      </c>
      <c r="E896" s="7" t="n">
        <v>1</v>
      </c>
      <c r="F896" s="8" t="n">
        <v>45930</v>
      </c>
      <c r="G896" s="7" t="inlineStr">
        <is>
          <t>JOAN IMAYINNE GALVIS MORENO</t>
        </is>
      </c>
      <c r="H896" s="14" t="n">
        <v>2</v>
      </c>
      <c r="I896" s="15">
        <f>IF(H896="","",H896/2)</f>
        <v/>
      </c>
      <c r="J896" s="7">
        <f>IF(H896="",0,IF(SUMPRODUCT((Seguimientos!$A$2:$A$1013=A896)*(Seguimientos!$F$2:$F$1013=F896)*(Seguimientos!$B$2:$B$1013&gt;B896)*(Seguimientos!$H$2:$H$1013&lt;&gt;""))=0,1,0))</f>
        <v/>
      </c>
      <c r="K896" s="7">
        <f>A896&amp;"|"&amp;B896</f>
        <v/>
      </c>
      <c r="L896" s="13" t="inlineStr">
        <is>
          <t>ACTIVIDAD COMPLETADA</t>
        </is>
      </c>
    </row>
    <row r="897">
      <c r="A897" s="7" t="inlineStr">
        <is>
          <t>sgsi-2023-1</t>
        </is>
      </c>
      <c r="B897" s="7" t="n">
        <v>7</v>
      </c>
      <c r="C897" s="7" t="inlineStr">
        <is>
          <t>SGSI</t>
        </is>
      </c>
      <c r="D897" s="7" t="inlineStr">
        <is>
          <t>2023</t>
        </is>
      </c>
      <c r="E897" s="7" t="n">
        <v>1</v>
      </c>
      <c r="F897" s="8" t="n">
        <v>46021</v>
      </c>
      <c r="G897" s="7" t="inlineStr">
        <is>
          <t>JOAN IMAYINNE GALVIS MORENO</t>
        </is>
      </c>
      <c r="H897" s="14" t="n">
        <v>2</v>
      </c>
      <c r="I897" s="15">
        <f>IF(H897="","",H897/2)</f>
        <v/>
      </c>
      <c r="J897" s="7">
        <f>IF(H897="",0,IF(SUMPRODUCT((Seguimientos!$A$2:$A$1013=A897)*(Seguimientos!$F$2:$F$1013=F897)*(Seguimientos!$B$2:$B$1013&gt;B897)*(Seguimientos!$H$2:$H$1013&lt;&gt;""))=0,1,0))</f>
        <v/>
      </c>
      <c r="K897" s="7">
        <f>A897&amp;"|"&amp;B897</f>
        <v/>
      </c>
      <c r="L897" s="13" t="inlineStr">
        <is>
          <t>ACTIVIDAD COMPLETADA</t>
        </is>
      </c>
    </row>
    <row r="898">
      <c r="A898" s="7" t="inlineStr">
        <is>
          <t>sgsi-2023-1</t>
        </is>
      </c>
      <c r="B898" s="7" t="n">
        <v>8</v>
      </c>
      <c r="C898" s="7" t="inlineStr">
        <is>
          <t>SGSI</t>
        </is>
      </c>
      <c r="D898" s="7" t="inlineStr">
        <is>
          <t>2023</t>
        </is>
      </c>
      <c r="E898" s="7" t="n">
        <v>1</v>
      </c>
      <c r="F898" s="8" t="n">
        <v>46142</v>
      </c>
      <c r="G898" s="7" t="inlineStr">
        <is>
          <t>JOAN IMAYINNE GALVIS MORENO</t>
        </is>
      </c>
      <c r="H898" s="14" t="n">
        <v>2</v>
      </c>
      <c r="I898" s="15">
        <f>IF(H898="","",H898/2)</f>
        <v/>
      </c>
      <c r="J898" s="7">
        <f>IF(H898="",0,IF(SUMPRODUCT((Seguimientos!$A$2:$A$1013=A898)*(Seguimientos!$F$2:$F$1013=F898)*(Seguimientos!$B$2:$B$1013&gt;B898)*(Seguimientos!$H$2:$H$1013&lt;&gt;""))=0,1,0))</f>
        <v/>
      </c>
      <c r="K898" s="7">
        <f>A898&amp;"|"&amp;B898</f>
        <v/>
      </c>
      <c r="L898" s="13" t="inlineStr">
        <is>
          <t>ACTIVIDAD COMPLETADA</t>
        </is>
      </c>
    </row>
    <row r="899">
      <c r="A899" s="7" t="inlineStr">
        <is>
          <t>sgsi-2023-1</t>
        </is>
      </c>
      <c r="B899" s="7" t="n">
        <v>9</v>
      </c>
      <c r="C899" s="7" t="inlineStr">
        <is>
          <t>SGSI</t>
        </is>
      </c>
      <c r="D899" s="7" t="inlineStr">
        <is>
          <t>2023</t>
        </is>
      </c>
      <c r="E899" s="7" t="n">
        <v>1</v>
      </c>
      <c r="F899" s="8" t="n">
        <v>46203</v>
      </c>
      <c r="G899" s="7" t="inlineStr">
        <is>
          <t>JOAN IMAYINNE GALVIS MORENO</t>
        </is>
      </c>
      <c r="H899" s="14" t="n">
        <v>2</v>
      </c>
      <c r="I899" s="15">
        <f>IF(H899="","",H899/2)</f>
        <v/>
      </c>
      <c r="J899" s="7">
        <f>IF(H899="",0,IF(SUMPRODUCT((Seguimientos!$A$2:$A$1013=A899)*(Seguimientos!$F$2:$F$1013=F899)*(Seguimientos!$B$2:$B$1013&gt;B899)*(Seguimientos!$H$2:$H$1013&lt;&gt;""))=0,1,0))</f>
        <v/>
      </c>
      <c r="K899" s="7">
        <f>A899&amp;"|"&amp;B899</f>
        <v/>
      </c>
      <c r="L899" s="13" t="inlineStr">
        <is>
          <t>ACTIVIDAD COMPLETADA</t>
        </is>
      </c>
    </row>
    <row r="900">
      <c r="A900" s="7" t="inlineStr">
        <is>
          <t>sgsi-2023-2</t>
        </is>
      </c>
      <c r="B900" s="7" t="n">
        <v>1</v>
      </c>
      <c r="C900" s="7" t="inlineStr">
        <is>
          <t>SGSI</t>
        </is>
      </c>
      <c r="D900" s="7" t="inlineStr">
        <is>
          <t>2023</t>
        </is>
      </c>
      <c r="E900" s="7" t="n">
        <v>2</v>
      </c>
      <c r="F900" s="8" t="n">
        <v>45405</v>
      </c>
      <c r="G900" s="7" t="inlineStr">
        <is>
          <t>DANIEL EDUARDO SOTO BERNAL</t>
        </is>
      </c>
      <c r="H900" s="14" t="n">
        <v>0.5</v>
      </c>
      <c r="I900" s="15">
        <f>IF(H900="","",H900/2)</f>
        <v/>
      </c>
      <c r="J900" s="7">
        <f>IF(H900="",0,IF(SUMPRODUCT((Seguimientos!$A$2:$A$1013=A900)*(Seguimientos!$F$2:$F$1013=F900)*(Seguimientos!$B$2:$B$1013&gt;B900)*(Seguimientos!$H$2:$H$1013&lt;&gt;""))=0,1,0))</f>
        <v/>
      </c>
      <c r="K900" s="7">
        <f>A900&amp;"|"&amp;B900</f>
        <v/>
      </c>
      <c r="L900" s="13" t="inlineStr">
        <is>
          <t>Atendiendo lo estipulado en la Ley 1581 del 2012, en el Artículo 9. Autorización del Titular “Sin perjuicio de las excepciones previstas en la ley, en el Tratamiento se requiere la autorización previa e informada del Titular, la cual deberá ser obtenida por cualquier medio que pueda ser objeto de consulta posterior” y lo establecido en la Resolución No. 091 del 2023 “POR LA CUAL SE ESTABLECEN LOS LINEAMIENTOS DE PROTECCIÓN DE DATOS PERSONALES DE LOS TITULARES DE LA UNIVERSIDAD DE CUNDINAMARCA” Artículo 8. Autorización y Consentimiento del Titular “La Universidad de Cundinamarca requiere del consentimiento libre, previo, expreso e informado del titular de los datos personales para el tratamiento de los mismos, exceptos en los casos expresamente autorizados en la ley…” el Sistema de Gestión de Seguridad de la Información – SGSI el día 26 de febrero de 2024 realizo una capacitación a los gestores de la Oficina de Admisiones y Registro en sede, seccionales y extensiones, con el propósito de dar a conocer el proceso para revisar, aprobar y/o rechazar la Autorización para el Tratamiento de Datos Personales de los titulares (estudiantes) de la Universidad de Cundinamarca. De igual forma, se realizó la revisión del estado de las autorizaciones con fecha de corte del 21 de marzo de 2024, encontrando los siguientes resultados: Total, de titulares activos: 11.976, equivalente al 100% Autorizaciones en estado APROBADO: 10.058 equivalente al 83.99% Autorizaciones en estado RECHAZADO: 884 autorizaciones, equivalente al 7.38% Autorizaciones en estado REVISIÓN: 55 autorizaciones, equivalente al 0.45% Autorizaciones en estado INACTIVO: 177 autorizaciones, equivalente al 7.38% Titulares que no han ingresado a gestionar la autorización: 802, equivalente al 6,70% Teniendo en cuenta el ejercicio de la revisión de autorizaciones, el día 22 de marzo de 2024 se remitió por medio de correo electrónico el informe de autorizaciones del primer trimestre de la vigencia 2024 al Abogado Dr. Christian Borras Torres – Oficial de Protección de Datos Personales y a la Ingeniera Diana Milena Rey Gutiérrez – Jefe de la Oficina de Admisiones y Registro. Así mismo se concretó una mesa de trabajo para el día 08 de abril de 2024, con las partes interesadas anteriormente mencionadas para determinar una estrategia que permita minimizar este riesgo latente. En la sesión de evidencias se encuentra el informe de autorizaciones del primer trimestre de 2023 y la trazabilidad de correo donde envió al Oficial de Protección de Datos Personales, Jefe de la oficina de Admisiones y Registro, Directores e ingenieros de soporte en seccionales y extensiones.</t>
        </is>
      </c>
    </row>
    <row r="901">
      <c r="A901" s="7" t="inlineStr">
        <is>
          <t>sgsi-2023-2</t>
        </is>
      </c>
      <c r="B901" s="7" t="n">
        <v>2</v>
      </c>
      <c r="C901" s="7" t="inlineStr">
        <is>
          <t>SGSI</t>
        </is>
      </c>
      <c r="D901" s="7" t="inlineStr">
        <is>
          <t>2023</t>
        </is>
      </c>
      <c r="E901" s="7" t="n">
        <v>2</v>
      </c>
      <c r="F901" s="8" t="n">
        <v>45497</v>
      </c>
      <c r="G901" s="7" t="inlineStr">
        <is>
          <t>DANIEL EDUARDO SOTO BERNAL</t>
        </is>
      </c>
      <c r="H901" s="14" t="n">
        <v>1</v>
      </c>
      <c r="I901" s="15">
        <f>IF(H901="","",H901/2)</f>
        <v/>
      </c>
      <c r="J901" s="7">
        <f>IF(H901="",0,IF(SUMPRODUCT((Seguimientos!$A$2:$A$1013=A901)*(Seguimientos!$F$2:$F$1013=F901)*(Seguimientos!$B$2:$B$1013&gt;B901)*(Seguimientos!$H$2:$H$1013&lt;&gt;""))=0,1,0))</f>
        <v/>
      </c>
      <c r="K901" s="7">
        <f>A901&amp;"|"&amp;B901</f>
        <v/>
      </c>
      <c r="L901" s="13" t="inlineStr">
        <is>
          <t>Atendiendo lo estipulado en la Ley 1581 del 2012, en el Artículo 9. Autorización del Titular “Sin perjuicio de las excepciones previstas en la ley, en el Tratamiento se requiere la autorización previa e informada del Titular, la cual deberá ser obtenida por cualquier medio que pueda ser objeto de consulta posterior” y lo establecido en la Resolución No. 091 del 2023 “POR LA CUAL SE ESTABLECEN LOS LINEAMIENTOS DE PROTECCIÓN DE DATOS PERSONALES DE LOS TITULARES DE LA UNIVERSIDAD DE CUNDINAMARCA” Artículo 8. Autorización y Consentimiento del Titular “La Universidad de Cundinamarca requiere del consentimiento libre, previo, expreso e informado del titular de los datos personales para el tratamiento de los mismos, exceptos en los casos expresamente autorizados en la ley…”. El Sistema de Gestión de Seguridad de la Información – SGSI, con el fin de dar cumplimiento a la normatividad anteriormente expuesta, adopto nuevas estrategias para la gestión y el seguimiento del estado de las autorizaciones de los titulares de la institución, de manera articulada con el Oficial de Protección de Datos Personales y la oficina de Admisiones y Registro, donde se establecieron las siguientes estrategias: •La Oficina de Admisiones y Registro realizo al impresión del documento ESG-SSI-r001 y recolecto la Autorización para el Tratamiento de Datos Personales en físico de los titulares (estudiantes) en sede, seccionales y extensiones. •El Sistema de Gestión de Seguridad de la Información – SGSI, envió un listado de los estudiantes que se encontraban en los estados de: Rechazado, Inactivo y No Ingresado a los decanos, directores y coordinadores de programa en sede, seccionales y extensiones con el propósito de que recolectaran la autorización a los titulares (estudiantes) pendientes por gestionar. •El Sistema de Gestión de Seguridad de la Información – SGSI, por medio de la plataforma Microsoft Teams, se comunicó con los titulares (estudiantes) que no habían gestionado la autorización para el tratamiento de datos personales, con el propósito de que la gestionara. En la sesión de evidencias se encuentra el informe del estado de las autorizaciones con fecha de corte del 13 de junio de 2024.</t>
        </is>
      </c>
    </row>
    <row r="902">
      <c r="A902" s="7" t="inlineStr">
        <is>
          <t>sgsi-2023-2</t>
        </is>
      </c>
      <c r="B902" s="7" t="n">
        <v>3</v>
      </c>
      <c r="C902" s="7" t="inlineStr">
        <is>
          <t>SGSI</t>
        </is>
      </c>
      <c r="D902" s="7" t="inlineStr">
        <is>
          <t>2023</t>
        </is>
      </c>
      <c r="E902" s="7" t="n">
        <v>2</v>
      </c>
      <c r="F902" s="8" t="n">
        <v>45583</v>
      </c>
      <c r="G902" s="7" t="inlineStr">
        <is>
          <t>DANIEL EDUARDO SOTO BERNAL</t>
        </is>
      </c>
      <c r="H902" s="14" t="n">
        <v>1.5</v>
      </c>
      <c r="I902" s="15">
        <f>IF(H902="","",H902/2)</f>
        <v/>
      </c>
      <c r="J902" s="7">
        <f>IF(H902="",0,IF(SUMPRODUCT((Seguimientos!$A$2:$A$1013=A902)*(Seguimientos!$F$2:$F$1013=F902)*(Seguimientos!$B$2:$B$1013&gt;B902)*(Seguimientos!$H$2:$H$1013&lt;&gt;""))=0,1,0))</f>
        <v/>
      </c>
      <c r="K902" s="7">
        <f>A902&amp;"|"&amp;B902</f>
        <v/>
      </c>
      <c r="L902" s="13" t="inlineStr">
        <is>
          <t>En cumplimiento a lo estipulado en la ley 1581 del 2012, Artículo 9 “Autorización del Titular. Sin perjuicio de las excepciones previstas en la ley, en el Tratamiento se requiere la autorización previa e informada del Titular, la cual deberá ser obtenida por cualquier medio que pueda ser objeto de consulta posterior” y lo establecido en la resolución No. 091 del 2023, Artículo 8 “AUTORIZACIÓN Y CONSENTIMIENTO DEL TITULAR. La Universidad de Cundinamarca requiere del consentimiento libre, previo, expreso e informado del titular de los datos personales para el tratamiento de estos, exceptos en los casos expresamente autorizados en la ley. …” el Sistema de Gestión de Seguridad de la Información – SGSI ha realizado el seguimiento de las autorizaciones de los titulares (estudiantes) de la Universidad de Cundinamarca. Es importante mencionar qué, con corte al 15 de septiembre del 2024 se contaba con 1.096 estudiantes sin gestionar la Autorización de Tratamiento de Datos Personales, para lo cual, se realizó una mesa de trabajo de manera articulada con la Oficina de Admisiones y Registro el día 03 de octubre del 2024 donde se estableció la siguiente estrategia: El día 09 de octubre del 2024, se entregaron en físico los formatos ESG-SSI-r001 AUTORIZACION PARA EL TRATAMIENTO DE DATOS PERSONALES DE TITULARES DE LA UNIVERSIDAD, ESG-SSI-r003 AUTORIZACION PARA EL TRATAMIENTO DE DATOS PERSONALES DE PADRE, MADRE O REPRESENTANTE LEGAL y ESG-SSI-r004 AUTORIZACION PARA EL TRATAMIENTO DE DATOS PERSONALES DE MENORES DE EDAD, a las facultades de los programas académicos en la sede Fusagasugá, y se realizo el levantamiento de actas de reunión, donde se documentó los formatos que fueron entregados y se estipulo un plazo de quince (15) días hábiles para la entrega de los formatos debidamente firmados por los titulares (estudiantes) y de esta manera la Oficina de Admisiones y Registro cargar el formato por la plataforma institucional en el módulo de Gestión de Autorizaciones. De acuerdo a la estrategia anterior, se espera que el número de titulares pendientes por gestionar la autorización disminuya. En la sesión de evidencias se encuentra el informe de la gestión de autorizaciones que fue enviado a la Vicerrectoría Académica, la oficina de Admisiones y Registro, y el Oficial de Protección de Datos Personales.</t>
        </is>
      </c>
    </row>
    <row r="903">
      <c r="A903" s="7" t="inlineStr">
        <is>
          <t>sgsi-2023-2</t>
        </is>
      </c>
      <c r="B903" s="7" t="n">
        <v>4</v>
      </c>
      <c r="C903" s="7" t="inlineStr">
        <is>
          <t>SGSI</t>
        </is>
      </c>
      <c r="D903" s="7" t="inlineStr">
        <is>
          <t>2023</t>
        </is>
      </c>
      <c r="E903" s="7" t="n">
        <v>2</v>
      </c>
      <c r="F903" s="8" t="n">
        <v>45777</v>
      </c>
      <c r="G903" s="7" t="inlineStr">
        <is>
          <t>DANIEL EDUARDO SOTO BERNAL</t>
        </is>
      </c>
      <c r="H903" s="14" t="n">
        <v>1.5</v>
      </c>
      <c r="I903" s="15">
        <f>IF(H903="","",H903/2)</f>
        <v/>
      </c>
      <c r="J903" s="7">
        <f>IF(H903="",0,IF(SUMPRODUCT((Seguimientos!$A$2:$A$1013=A903)*(Seguimientos!$F$2:$F$1013=F903)*(Seguimientos!$B$2:$B$1013&gt;B903)*(Seguimientos!$H$2:$H$1013&lt;&gt;""))=0,1,0))</f>
        <v/>
      </c>
      <c r="K903" s="7">
        <f>A903&amp;"|"&amp;B903</f>
        <v/>
      </c>
      <c r="L903" s="13" t="inlineStr">
        <is>
          <t>La Autorización para el Tratamiento de Datos Personales de los titulares (estudiantes nuevos y antiguos) de la Universidad de Cundinamarca, se encuentra con corte al 13 de marzo del 2025 de la siguiente manera: Total, de titulares activos: 12.405 equivalente al 100% Autorizaciones en estado APROBADO: 11.498 equivalente al 92.69% Autorizaciones en estado RECHAZADO: 474 autorizaciones, equivalente al 3.82% Autorizaciones en estado NO INGRESADO: 375 autorizaciones, equivalente al 3.02% Autorizaciones en estado TRANSICIÓN: 57 autorizaciones, equivalente al 0.46% Para un total de 906 estudiantes que no han gestionado su autorización. De acuerdo con lo anterior, en aras de que se minimice el riesgo latente que se presenta año a año sobre la Autorización para el Tratamiento de Datos Personales, el Sistema de Gestión de Seguridad de la Información – SGSI solicitó a la Secretaria General la aprobación para ajustar el aplicativo denominado “GESTIÓN DE AUTORIZACIONES”, donde el formato de autorización no sea descargado para firma, sino que aparezca como un formulario en el rol “Académico Estudiante” de la plataforma institucional, lo que permitirá que cada estudiante pueda visualizar en la pantalla en un término de tiempo considerable y leer cuidadosamente el contenido del documento, para dar click en un botón de “ACEPTAR”, esto con el fin de que sea más práctico y oportuna la aprobación de la autorización por parte de cada titular, el cual se dio la APROBACIÓN el día 25 de marzo del 2025. El día 07 de abril de 2025 se tiene programada una mesa de trabajo con la Dirección de Sistemas y Tecnología para articular el ajuste del aplicativo. En la sesión de evidencias se encuentra el informe del estado de las autorizaciones presentado con corte al 05 de febrero de 2025 y el oficio remitido a la Secretaria General para aprobación del ajuste del aplicativo.</t>
        </is>
      </c>
    </row>
    <row r="904">
      <c r="A904" s="7" t="inlineStr">
        <is>
          <t>sgsi-2023-2</t>
        </is>
      </c>
      <c r="B904" s="7" t="n">
        <v>5</v>
      </c>
      <c r="C904" s="7" t="inlineStr">
        <is>
          <t>SGSI</t>
        </is>
      </c>
      <c r="D904" s="7" t="inlineStr">
        <is>
          <t>2023</t>
        </is>
      </c>
      <c r="E904" s="7" t="n">
        <v>2</v>
      </c>
      <c r="F904" s="8" t="n">
        <v>45868</v>
      </c>
      <c r="G904" s="7" t="inlineStr">
        <is>
          <t>DANIEL EDUARDO SOTO BERNAL</t>
        </is>
      </c>
      <c r="H904" s="14" t="n">
        <v>1.5</v>
      </c>
      <c r="I904" s="15">
        <f>IF(H904="","",H904/2)</f>
        <v/>
      </c>
      <c r="J904" s="7">
        <f>IF(H904="",0,IF(SUMPRODUCT((Seguimientos!$A$2:$A$1013=A904)*(Seguimientos!$F$2:$F$1013=F904)*(Seguimientos!$B$2:$B$1013&gt;B904)*(Seguimientos!$H$2:$H$1013&lt;&gt;""))=0,1,0))</f>
        <v/>
      </c>
      <c r="K904" s="7">
        <f>A904&amp;"|"&amp;B904</f>
        <v/>
      </c>
      <c r="L904" s="13" t="inlineStr">
        <is>
          <t>En cumplimiento de la Ley 1581 del 2012, en particular el Artículo 9. “Autorización del Titular. “Sin perjuicio de las excepciones previstas en la ley, en el Tratamiento se requiere la autorización previa e informada del Titular, la cual deberá ser obtenida por cualquier medio que pueda ser objeto de consulta posterior” y lo documentado en la Resolución Rectoral No. 091 del 2023 “Por la cual se establecen los lineamientos de protección de datos personales de los titulares de la Universidad de Cundinamarca” Artículo 8. AUTORIZACIÓN Y CONSENTIMIENTO DEL TITULAR, el Sistema de Gestión de Seguridad de la Información – SGSI, en el frente de Protección de Datos Personales ha establecido dentro de las estrategias para mitigar el riesgo latente en la Gestión de Autorizaciones de los titulares (estudiantes nuevos y antiguos), un ajuste al aplicativo denominado “Gestión de Autorizaciones”, donde el formato de autorización no sea descargado para firma, sino que aparezca como un formulario en el rol “Académico Estudiante” de la plataforma institucional, lo que permitirá que cada estudiante pueda visualizar en la pantalla en un término de tiempo considerable y leer cuidadosamente el contenido del documento, para dar click en un botón de “ACEPTAR”, esto con el fin de que sea más práctico y se gestione de manera oportuna la aprobación de la autorización por parte de cada titular.</t>
        </is>
      </c>
    </row>
    <row r="905">
      <c r="A905" s="7" t="inlineStr">
        <is>
          <t>sgsi-2023-2</t>
        </is>
      </c>
      <c r="B905" s="7" t="n">
        <v>6</v>
      </c>
      <c r="C905" s="7" t="inlineStr">
        <is>
          <t>SGSI</t>
        </is>
      </c>
      <c r="D905" s="7" t="inlineStr">
        <is>
          <t>2023</t>
        </is>
      </c>
      <c r="E905" s="7" t="n">
        <v>2</v>
      </c>
      <c r="F905" s="8" t="n">
        <v>45930</v>
      </c>
      <c r="G905" s="7" t="inlineStr">
        <is>
          <t>JOAN IMAYINNE GALVIS MORENO</t>
        </is>
      </c>
      <c r="H905" s="14" t="n">
        <v>2</v>
      </c>
      <c r="I905" s="15">
        <f>IF(H905="","",H905/2)</f>
        <v/>
      </c>
      <c r="J905" s="7">
        <f>IF(H905="",0,IF(SUMPRODUCT((Seguimientos!$A$2:$A$1013=A905)*(Seguimientos!$F$2:$F$1013=F905)*(Seguimientos!$B$2:$B$1013&gt;B905)*(Seguimientos!$H$2:$H$1013&lt;&gt;""))=0,1,0))</f>
        <v/>
      </c>
      <c r="K905" s="7">
        <f>A905&amp;"|"&amp;B905</f>
        <v/>
      </c>
      <c r="L905" s="13" t="inlineStr">
        <is>
          <t>De acuerdo a lo expresado por El SGSI, en articulación con la Dirección de Sistemas y Tecnología, implementó desde el 18 de junio de 2025 un ajuste en el aplicativo “Gestión de Autorizaciones”, permitiendo que los estudiantes acepten digitalmente el tratamiento de sus datos personales a través de la Plataforma Institucional, reduciendo el riesgo por falta de autorizaciones. El 9 de julio de 2025, la gestión de estas autorizaciones fue entregada a la Oficina de Admisiones y Registro, y la estrategia fue presentada ante el Comité de Tecnología el 10 de octubre de 2025 y a traves de comunicado del comite se informara a los Creadores de Oportunidades.</t>
        </is>
      </c>
    </row>
    <row r="906">
      <c r="A906" s="7" t="inlineStr">
        <is>
          <t>sgsi-2023-2</t>
        </is>
      </c>
      <c r="B906" s="7" t="n">
        <v>7</v>
      </c>
      <c r="C906" s="7" t="inlineStr">
        <is>
          <t>SGSI</t>
        </is>
      </c>
      <c r="D906" s="7" t="inlineStr">
        <is>
          <t>2023</t>
        </is>
      </c>
      <c r="E906" s="7" t="n">
        <v>2</v>
      </c>
      <c r="F906" s="8" t="n">
        <v>46021</v>
      </c>
      <c r="G906" s="7" t="inlineStr">
        <is>
          <t>JOAN IMAYINNE GALVIS MORENO</t>
        </is>
      </c>
      <c r="H906" s="14" t="n">
        <v>2</v>
      </c>
      <c r="I906" s="15">
        <f>IF(H906="","",H906/2)</f>
        <v/>
      </c>
      <c r="J906" s="7">
        <f>IF(H906="",0,IF(SUMPRODUCT((Seguimientos!$A$2:$A$1013=A906)*(Seguimientos!$F$2:$F$1013=F906)*(Seguimientos!$B$2:$B$1013&gt;B906)*(Seguimientos!$H$2:$H$1013&lt;&gt;""))=0,1,0))</f>
        <v/>
      </c>
      <c r="K906" s="7">
        <f>A906&amp;"|"&amp;B906</f>
        <v/>
      </c>
      <c r="L906" s="13" t="inlineStr">
        <is>
          <t>ACTIVIDAD COMPLETADA</t>
        </is>
      </c>
    </row>
    <row r="907">
      <c r="A907" s="7" t="inlineStr">
        <is>
          <t>sgsi-2023-2</t>
        </is>
      </c>
      <c r="B907" s="7" t="n">
        <v>8</v>
      </c>
      <c r="C907" s="7" t="inlineStr">
        <is>
          <t>SGSI</t>
        </is>
      </c>
      <c r="D907" s="7" t="inlineStr">
        <is>
          <t>2023</t>
        </is>
      </c>
      <c r="E907" s="7" t="n">
        <v>2</v>
      </c>
      <c r="F907" s="8" t="n">
        <v>46142</v>
      </c>
      <c r="G907" s="7" t="inlineStr">
        <is>
          <t>JOAN IMAYINNE GALVIS MORENO</t>
        </is>
      </c>
      <c r="H907" s="14" t="n">
        <v>2</v>
      </c>
      <c r="I907" s="15">
        <f>IF(H907="","",H907/2)</f>
        <v/>
      </c>
      <c r="J907" s="7">
        <f>IF(H907="",0,IF(SUMPRODUCT((Seguimientos!$A$2:$A$1013=A907)*(Seguimientos!$F$2:$F$1013=F907)*(Seguimientos!$B$2:$B$1013&gt;B907)*(Seguimientos!$H$2:$H$1013&lt;&gt;""))=0,1,0))</f>
        <v/>
      </c>
      <c r="K907" s="7">
        <f>A907&amp;"|"&amp;B907</f>
        <v/>
      </c>
      <c r="L907" s="13" t="inlineStr">
        <is>
          <t>ACTIVIDAD COMPLETADA</t>
        </is>
      </c>
    </row>
    <row r="908">
      <c r="A908" s="7" t="inlineStr">
        <is>
          <t>sgsi-2023-2</t>
        </is>
      </c>
      <c r="B908" s="7" t="n">
        <v>9</v>
      </c>
      <c r="C908" s="7" t="inlineStr">
        <is>
          <t>SGSI</t>
        </is>
      </c>
      <c r="D908" s="7" t="inlineStr">
        <is>
          <t>2023</t>
        </is>
      </c>
      <c r="E908" s="7" t="n">
        <v>2</v>
      </c>
      <c r="F908" s="8" t="n">
        <v>46203</v>
      </c>
      <c r="G908" s="7" t="inlineStr">
        <is>
          <t>JOAN IMAYINNE GALVIS MORENO</t>
        </is>
      </c>
      <c r="H908" s="14" t="n">
        <v>2</v>
      </c>
      <c r="I908" s="15">
        <f>IF(H908="","",H908/2)</f>
        <v/>
      </c>
      <c r="J908" s="7">
        <f>IF(H908="",0,IF(SUMPRODUCT((Seguimientos!$A$2:$A$1013=A908)*(Seguimientos!$F$2:$F$1013=F908)*(Seguimientos!$B$2:$B$1013&gt;B908)*(Seguimientos!$H$2:$H$1013&lt;&gt;""))=0,1,0))</f>
        <v/>
      </c>
      <c r="K908" s="7">
        <f>A908&amp;"|"&amp;B908</f>
        <v/>
      </c>
      <c r="L908" s="13" t="inlineStr">
        <is>
          <t>ACTIVIDAD COMPLETADA</t>
        </is>
      </c>
    </row>
    <row r="909">
      <c r="A909" s="7" t="inlineStr">
        <is>
          <t>sgsi-2023-3</t>
        </is>
      </c>
      <c r="B909" s="7" t="n">
        <v>1</v>
      </c>
      <c r="C909" s="7" t="inlineStr">
        <is>
          <t>SGSI</t>
        </is>
      </c>
      <c r="D909" s="7" t="inlineStr">
        <is>
          <t>2023</t>
        </is>
      </c>
      <c r="E909" s="7" t="n">
        <v>3</v>
      </c>
      <c r="F909" s="8" t="n">
        <v>45405</v>
      </c>
      <c r="G909" s="7" t="inlineStr">
        <is>
          <t>DANIEL EDUARDO SOTO BERNAL</t>
        </is>
      </c>
      <c r="H909" s="14" t="n">
        <v>1</v>
      </c>
      <c r="I909" s="15">
        <f>IF(H909="","",H909/2)</f>
        <v/>
      </c>
      <c r="J909" s="7">
        <f>IF(H909="",0,IF(SUMPRODUCT((Seguimientos!$A$2:$A$1013=A909)*(Seguimientos!$F$2:$F$1013=F909)*(Seguimientos!$B$2:$B$1013&gt;B909)*(Seguimientos!$H$2:$H$1013&lt;&gt;""))=0,1,0))</f>
        <v/>
      </c>
      <c r="K909" s="7">
        <f>A909&amp;"|"&amp;B909</f>
        <v/>
      </c>
      <c r="L909" s="13" t="inlineStr">
        <is>
          <t>El Sistema de Gestión de Seguridad de la Información – SGSI en articulación con el experto temático asignado por la Escuela de Formación y Aprendizaje Docente – EFAD S21, construyo el Plan de Aprendizaje Digital - PAD del Campo Multidimensional de Aprendizaje del SGSI, de igual forma, se realizó la actualización de los contenidos (Módulos del Sistema de Gestión de Seguridad de la Información – SGSI y el Programa Integral de Gestión de Datos Personales – PIGDP) con el propósito de sacar al aire la nueva versión del curso virtual que será cursado por los gestores administrativos y/o docentes de la Universidad de Cundinamarca en todas las modalidades de contratación en el segundo semestre de la vigencia 2024. Por lo anterior, el SGSI ha elaborado el cronograma de actividades denominado “Construcción del Campo Multidimensional de Aprendizaje del Sistema de Gestión de Seguridad de la Información – SGSI 2024” conformado por diecisiete (17) actividades para su ejecución en la presente vigencia, es por ello, que el pasado 19 de febrero de 2024 por medio de correo electrónico se solicitó a la Escuela de Formación y Aprendizaje Docente – EFAD S21 la asignación de un experto temático para tener el aval del Plan de Aprendizaje Digital – PAD y seguir con el trámite pertinente con la Oficina de Educación Virtual y a Distancia, sin embargo, en la misma fecha se nos comunicó que estaban en el tramite de contracción del personal académico y que una vez se contara con la disponibilidad del experto temático para brindar el acompañamiento seria notificado a la mayor brevedad, a la fecha, nos encontramos a la espera de la notificación y asignación del experto temático. En la sesión de evidencias se encuentra en Plan de Aprendizaje Digital – PAD, el cronograma de actividades y la trazabilidad de correo con la Escuela de Formación y Aprendizaje Docente – EFAD S21.</t>
        </is>
      </c>
    </row>
    <row r="910">
      <c r="A910" s="7" t="inlineStr">
        <is>
          <t>sgsi-2023-3</t>
        </is>
      </c>
      <c r="B910" s="7" t="n">
        <v>2</v>
      </c>
      <c r="C910" s="7" t="inlineStr">
        <is>
          <t>SGSI</t>
        </is>
      </c>
      <c r="D910" s="7" t="inlineStr">
        <is>
          <t>2023</t>
        </is>
      </c>
      <c r="E910" s="7" t="n">
        <v>3</v>
      </c>
      <c r="F910" s="8" t="n">
        <v>45497</v>
      </c>
      <c r="G910" s="7" t="inlineStr">
        <is>
          <t>DANIEL EDUARDO SOTO BERNAL</t>
        </is>
      </c>
      <c r="H910" s="14" t="n">
        <v>1</v>
      </c>
      <c r="I910" s="15">
        <f>IF(H910="","",H910/2)</f>
        <v/>
      </c>
      <c r="J910" s="7">
        <f>IF(H910="",0,IF(SUMPRODUCT((Seguimientos!$A$2:$A$1013=A910)*(Seguimientos!$F$2:$F$1013=F910)*(Seguimientos!$B$2:$B$1013&gt;B910)*(Seguimientos!$H$2:$H$1013&lt;&gt;""))=0,1,0))</f>
        <v/>
      </c>
      <c r="K910" s="7">
        <f>A910&amp;"|"&amp;B910</f>
        <v/>
      </c>
      <c r="L910" s="13" t="inlineStr">
        <is>
          <t>El Sistema de Gestión de Seguridad de la Información – SGSI, ha establecido dentro de sus estrategias para la gestión de cumplimiento, la creación del curso del aula virtual que permita involucrar al talento humano de la Universidad de Cundinamarca con el propósito de contribuir a fortalecer la confidencialidad, integridad y disponibilidad de la información y el manejo de los datos públicos, privados, semiprivados y sensibles en el contexto de la normatividad interna y externa legal vigente, con el fin de minimizar los riesgos que generen o abran brechas que provoquen perdida de información o que puedan generar posibles sanciones para la institución o para sus funcionarios. Por lo anterior, se realizó el EPIr001 Cronograma de Actividades denominado “Construcción del Campo Multidimensional de Aprendizaje del Sistema de Gestión de Seguridad de la Información – SGSI” el cual se encuentra en ejecución. De igual forma, el pasado 07 de junio de 2024, se llevó a cabo una mesa de trabajo entre el SGSI y el experto temático Luis Fernando Coral Rincón, asignado por la Escuela de Formación y Aprendizaje Docente – EFADS21, donde se revisó el Plan de Aprendizaje Digital (PAD). En la sesión de evidencias se encuentra el cronograma de actividades en mención, el registro de asistencia de la mesa de trabajo y el Plan de Aprendizaje Digital (PAD) que se encuentra pendiente de revisión y aprobación.</t>
        </is>
      </c>
    </row>
    <row r="911">
      <c r="A911" s="7" t="inlineStr">
        <is>
          <t>sgsi-2023-3</t>
        </is>
      </c>
      <c r="B911" s="7" t="n">
        <v>3</v>
      </c>
      <c r="C911" s="7" t="inlineStr">
        <is>
          <t>SGSI</t>
        </is>
      </c>
      <c r="D911" s="7" t="inlineStr">
        <is>
          <t>2023</t>
        </is>
      </c>
      <c r="E911" s="7" t="n">
        <v>3</v>
      </c>
      <c r="F911" s="8" t="n">
        <v>45583</v>
      </c>
      <c r="G911" s="7" t="inlineStr">
        <is>
          <t>DANIEL EDUARDO SOTO BERNAL</t>
        </is>
      </c>
      <c r="H911" s="14" t="n">
        <v>1.5</v>
      </c>
      <c r="I911" s="15">
        <f>IF(H911="","",H911/2)</f>
        <v/>
      </c>
      <c r="J911" s="7">
        <f>IF(H911="",0,IF(SUMPRODUCT((Seguimientos!$A$2:$A$1013=A911)*(Seguimientos!$F$2:$F$1013=F911)*(Seguimientos!$B$2:$B$1013&gt;B911)*(Seguimientos!$H$2:$H$1013&lt;&gt;""))=0,1,0))</f>
        <v/>
      </c>
      <c r="K911" s="7">
        <f>A911&amp;"|"&amp;B911</f>
        <v/>
      </c>
      <c r="L911" s="13" t="inlineStr">
        <is>
          <t>El Sistema de Gestión de Seguridad de la Información – SGSI, en articulación con el experto temático asignado por la Escuela de Formación y Aprendizaje Docente – EFADS21, realizo el Plan de Aprendizaje Digital – PAD el cual fue cargado por la plataforma institucional y aprobado por las áreas pertinentes para la construcción del Campo Multidimensional de Aprendizaje del SGSI, para lo cual, los días 25 de septiembre de 2024 y 09 de octubre de 2024 se realizaron mesas de trabajo con la Oficina de Educación Virtual y a Distancia con el propósito de iniciar el diseño y producción de los contenidos del curso virtual. La finalidad de este curso es que toda persona que se vincule a la Universidad de Cundinamarca, en todas las modalidades de contratación, conozca, entienda y comprenda los lineamientos y directrices que ha trazado la institución en temas de Seguridad y Privacidad de la Información, lo que asegura en gran medida que se mitiguen los riesgos que se puedan presentar y que no se conlleve a la materialización de los mismos, lo que acarrearía perdida de Confidencialidad, Integridad y Disponibilidad de la información o de protección de datos personales que según la norma, establecen sanciones de tipo institucional y personal. Es importante mencionar que el curso en mención saldrá al aire en el primer trimestre de la vigencia 2025 para ser cursado y aprobado con una nota mínima de 4.0 por los gestores administrativos y los gestores del conocimiento y el aprendizaje. En la sesión de evidencias se encuentra el Plan de Aprendizaje Digital – PAD, los registros de asistencia de las mesas de trabajo, el material audio visual y el banco de preguntas para las evaluaciones de apropiación de contenido.</t>
        </is>
      </c>
    </row>
    <row r="912">
      <c r="A912" s="7" t="inlineStr">
        <is>
          <t>sgsi-2023-3</t>
        </is>
      </c>
      <c r="B912" s="7" t="n">
        <v>4</v>
      </c>
      <c r="C912" s="7" t="inlineStr">
        <is>
          <t>SGSI</t>
        </is>
      </c>
      <c r="D912" s="7" t="inlineStr">
        <is>
          <t>2023</t>
        </is>
      </c>
      <c r="E912" s="7" t="n">
        <v>3</v>
      </c>
      <c r="F912" s="8" t="n">
        <v>45777</v>
      </c>
      <c r="G912" s="7" t="inlineStr">
        <is>
          <t>DANIEL EDUARDO SOTO BERNAL</t>
        </is>
      </c>
      <c r="H912" s="14" t="n">
        <v>1.5</v>
      </c>
      <c r="I912" s="15">
        <f>IF(H912="","",H912/2)</f>
        <v/>
      </c>
      <c r="J912" s="7">
        <f>IF(H912="",0,IF(SUMPRODUCT((Seguimientos!$A$2:$A$1013=A912)*(Seguimientos!$F$2:$F$1013=F912)*(Seguimientos!$B$2:$B$1013&gt;B912)*(Seguimientos!$H$2:$H$1013&lt;&gt;""))=0,1,0))</f>
        <v/>
      </c>
      <c r="K912" s="7">
        <f>A912&amp;"|"&amp;B912</f>
        <v/>
      </c>
      <c r="L912" s="13" t="inlineStr">
        <is>
          <t>Teniendo en cuenta que la oficina de Educación Virtual y a Distancia, solicito reestructuración del Plan de Aprendizaje Digital – PAD, el Sistema de Gestión de Seguridad de la Información – SGSI en articulación con el experto temático asignado por la Escuela de Formación y Aprendizaje Docente – EFADS21 ha realizado mesas de trabajo los días 19 y 26 de febrero de 2025 en aras de ajustar el PAD y remitirlo a las áreas pertinentes para su revisión y aprobación. De igual forma, se realizó el cronograma de actividades denominado “Construcción del Campo Multidimensional de Aprendizaje del Sistema de Gestión de Seguridad de la Información – SGSI” conformado por catorce (14) actividades para ejecución en la vigencia 2025. En la sesión de evidencias se encuentra el cronograma de actividades en mención.</t>
        </is>
      </c>
    </row>
    <row r="913">
      <c r="A913" s="7" t="inlineStr">
        <is>
          <t>sgsi-2023-3</t>
        </is>
      </c>
      <c r="B913" s="7" t="n">
        <v>5</v>
      </c>
      <c r="C913" s="7" t="inlineStr">
        <is>
          <t>SGSI</t>
        </is>
      </c>
      <c r="D913" s="7" t="inlineStr">
        <is>
          <t>2023</t>
        </is>
      </c>
      <c r="E913" s="7" t="n">
        <v>3</v>
      </c>
      <c r="F913" s="8" t="n">
        <v>45868</v>
      </c>
      <c r="G913" s="7" t="inlineStr">
        <is>
          <t>DANIEL EDUARDO SOTO BERNAL</t>
        </is>
      </c>
      <c r="H913" s="14" t="n">
        <v>1.5</v>
      </c>
      <c r="I913" s="15">
        <f>IF(H913="","",H913/2)</f>
        <v/>
      </c>
      <c r="J913" s="7">
        <f>IF(H913="",0,IF(SUMPRODUCT((Seguimientos!$A$2:$A$1013=A913)*(Seguimientos!$F$2:$F$1013=F913)*(Seguimientos!$B$2:$B$1013&gt;B913)*(Seguimientos!$H$2:$H$1013&lt;&gt;""))=0,1,0))</f>
        <v/>
      </c>
      <c r="K913" s="7">
        <f>A913&amp;"|"&amp;B913</f>
        <v/>
      </c>
      <c r="L913" s="13" t="inlineStr">
        <is>
          <t>El Sistema de Gestión de Seguridad de la Información – SGSI, ha establecido dentro de sus estrategias para la gestión de cumplimiento, la creación del curso virtual auto gestionable que permita involucrar al talento humano de la Universidad de Cundinamarca con el propósito de contribuir a fortalecer la Confidencialidad, Integridad y Disponibilidad de la información y el manejo de los datos públicos, privados, semiprivados y sensibles en el contexto de la normatividad interna y externa legal vigente, con el fin de minimizar los riesgos que generen o abran brechas que provoquen perdida de información o que puedan generar posibles sanciones para la institución o para sus funcionarios. De esta forma, en articulación con la Oficina de Educación Virtual y a Distancia se está construyendo la estructura de las herramientas de recolección de datos y los módulos del curso virtual.</t>
        </is>
      </c>
    </row>
    <row r="914">
      <c r="A914" s="7" t="inlineStr">
        <is>
          <t>sgsi-2023-3</t>
        </is>
      </c>
      <c r="B914" s="7" t="n">
        <v>6</v>
      </c>
      <c r="C914" s="7" t="inlineStr">
        <is>
          <t>SGSI</t>
        </is>
      </c>
      <c r="D914" s="7" t="inlineStr">
        <is>
          <t>2023</t>
        </is>
      </c>
      <c r="E914" s="7" t="n">
        <v>3</v>
      </c>
      <c r="F914" s="8" t="n">
        <v>45930</v>
      </c>
      <c r="G914" s="7" t="inlineStr">
        <is>
          <t>JOAN IMAYINNE GALVIS MORENO</t>
        </is>
      </c>
      <c r="H914" s="14" t="n">
        <v>1.5</v>
      </c>
      <c r="I914" s="15">
        <f>IF(H914="","",H914/2)</f>
        <v/>
      </c>
      <c r="J914" s="7">
        <f>IF(H914="",0,IF(SUMPRODUCT((Seguimientos!$A$2:$A$1013=A914)*(Seguimientos!$F$2:$F$1013=F914)*(Seguimientos!$B$2:$B$1013&gt;B914)*(Seguimientos!$H$2:$H$1013&lt;&gt;""))=0,1,0))</f>
        <v/>
      </c>
      <c r="K914" s="7">
        <f>A914&amp;"|"&amp;B914</f>
        <v/>
      </c>
      <c r="L914" s="13" t="inlineStr">
        <is>
          <t>De acuerdo a lo informado el Sistema de Gestión de Seguridad de la Información (SGSI) estableció como estrategia de cumplimiento la creación de un curso virtual autogestionable, orientado a fortalecer la Confidencialidad, Integridad y Disponibilidad de la información, así como el manejo adecuado de los datos públicos, privados, semiprivados y sensibles, conforme a la normativa vigente. En articulación con la Oficina de Educación Virtual y a Distancia, actualmente se desarrollan las plantillas de los recursos que conformarán el curso. Se espera que para el proximo segimiento ya se tenga implementado la nueva version del Campo Multidimencional de Aprendizaje para administraticos y gestores del conocimiento.</t>
        </is>
      </c>
    </row>
    <row r="915">
      <c r="A915" s="7" t="inlineStr">
        <is>
          <t>sgsi-2023-3</t>
        </is>
      </c>
      <c r="B915" s="7" t="n">
        <v>7</v>
      </c>
      <c r="C915" s="7" t="inlineStr">
        <is>
          <t>SGSI</t>
        </is>
      </c>
      <c r="D915" s="7" t="inlineStr">
        <is>
          <t>2023</t>
        </is>
      </c>
      <c r="E915" s="7" t="n">
        <v>3</v>
      </c>
      <c r="F915" s="8" t="n">
        <v>46021</v>
      </c>
      <c r="G915" s="7" t="inlineStr">
        <is>
          <t>JOAN IMAYINNE GALVIS MORENO</t>
        </is>
      </c>
      <c r="H915" s="14" t="n">
        <v>1.5</v>
      </c>
      <c r="I915" s="15">
        <f>IF(H915="","",H915/2)</f>
        <v/>
      </c>
      <c r="J915" s="7">
        <f>IF(H915="",0,IF(SUMPRODUCT((Seguimientos!$A$2:$A$1013=A915)*(Seguimientos!$F$2:$F$1013=F915)*(Seguimientos!$B$2:$B$1013&gt;B915)*(Seguimientos!$H$2:$H$1013&lt;&gt;""))=0,1,0))</f>
        <v/>
      </c>
      <c r="K915" s="7">
        <f>A915&amp;"|"&amp;B915</f>
        <v/>
      </c>
      <c r="L915" s="13" t="inlineStr">
        <is>
          <t>De acuerdo a lo informado el Sistema de Gestión de Seguridad de la Información (SGSI) estableció como estrategia de cumplimiento la creación de un curso virtual autogestionable, orientado a fortalecer la Confidencialidad, Integridad y Disponibilidad de la información, así como el manejo adecuado de los datos públicos, privados, semiprivados y sensibles, conforme a la normativa vigente. En articulación con la Oficina de Educación Virtual y a Distancia, actualmente se desarrollan las plantillas de los recursos que conformarán el curso. Se espera que para mes de marzo se empiece el funcionamiento del curso</t>
        </is>
      </c>
    </row>
    <row r="916">
      <c r="A916" s="7" t="inlineStr">
        <is>
          <t>sgsi-2023-3</t>
        </is>
      </c>
      <c r="B916" s="7" t="n">
        <v>8</v>
      </c>
      <c r="C916" s="7" t="inlineStr">
        <is>
          <t>SGSI</t>
        </is>
      </c>
      <c r="D916" s="7" t="inlineStr">
        <is>
          <t>2023</t>
        </is>
      </c>
      <c r="E916" s="7" t="n">
        <v>3</v>
      </c>
      <c r="F916" s="8" t="n">
        <v>46142</v>
      </c>
      <c r="G916" s="7" t="inlineStr">
        <is>
          <t>JOAN IMAYINNE GALVIS MORENO</t>
        </is>
      </c>
      <c r="H916" s="14" t="n">
        <v>1.5</v>
      </c>
      <c r="I916" s="15">
        <f>IF(H916="","",H916/2)</f>
        <v/>
      </c>
      <c r="J916" s="7">
        <f>IF(H916="",0,IF(SUMPRODUCT((Seguimientos!$A$2:$A$1013=A916)*(Seguimientos!$F$2:$F$1013=F916)*(Seguimientos!$B$2:$B$1013&gt;B916)*(Seguimientos!$H$2:$H$1013&lt;&gt;""))=0,1,0))</f>
        <v/>
      </c>
      <c r="K916" s="7">
        <f>A916&amp;"|"&amp;B916</f>
        <v/>
      </c>
      <c r="L916" s="13" t="inlineStr">
        <is>
          <t>No se evidencian avances, aun no se a puesto en funcionamiento la neva version del curso autogestionable.</t>
        </is>
      </c>
    </row>
    <row r="917">
      <c r="A917" s="7" t="inlineStr">
        <is>
          <t>sgsi-2023-3</t>
        </is>
      </c>
      <c r="B917" s="7" t="n">
        <v>9</v>
      </c>
      <c r="C917" s="7" t="inlineStr">
        <is>
          <t>SGSI</t>
        </is>
      </c>
      <c r="D917" s="7" t="inlineStr">
        <is>
          <t>2023</t>
        </is>
      </c>
      <c r="E917" s="7" t="n">
        <v>3</v>
      </c>
      <c r="F917" s="8" t="n">
        <v>46203</v>
      </c>
      <c r="G917" s="7" t="inlineStr">
        <is>
          <t>JOAN IMAYINNE GALVIS MORENO</t>
        </is>
      </c>
      <c r="H917" s="14" t="n">
        <v>1.5</v>
      </c>
      <c r="I917" s="15">
        <f>IF(H917="","",H917/2)</f>
        <v/>
      </c>
      <c r="J917" s="7">
        <f>IF(H917="",0,IF(SUMPRODUCT((Seguimientos!$A$2:$A$1013=A917)*(Seguimientos!$F$2:$F$1013=F917)*(Seguimientos!$B$2:$B$1013&gt;B917)*(Seguimientos!$H$2:$H$1013&lt;&gt;""))=0,1,0))</f>
        <v/>
      </c>
      <c r="K917" s="7">
        <f>A917&amp;"|"&amp;B917</f>
        <v/>
      </c>
      <c r="L917" s="13" t="inlineStr">
        <is>
          <t>El curso se encuentra en un 90% de desarrollo en conjunto a la Oficina de Educacion Virtual y a Distancia con entrega esperada al 23 de julio del 2026, esperando para el proximo seguimiento cierre de la actividad</t>
        </is>
      </c>
    </row>
    <row r="918">
      <c r="A918" s="7" t="inlineStr">
        <is>
          <t>sgsi-2024-1</t>
        </is>
      </c>
      <c r="B918" s="7" t="n">
        <v>1</v>
      </c>
      <c r="C918" s="7" t="inlineStr">
        <is>
          <t>SGSI</t>
        </is>
      </c>
      <c r="D918" s="7" t="inlineStr">
        <is>
          <t>2024</t>
        </is>
      </c>
      <c r="E918" s="7" t="n">
        <v>1</v>
      </c>
      <c r="F918" s="8" t="n">
        <v>45777</v>
      </c>
      <c r="G918" s="7" t="inlineStr">
        <is>
          <t>DANIEL EDUARDO SOTO BERNAL</t>
        </is>
      </c>
      <c r="H918" s="14" t="n">
        <v>1</v>
      </c>
      <c r="I918" s="15">
        <f>IF(H918="","",H918/2)</f>
        <v/>
      </c>
      <c r="J918" s="7">
        <f>IF(H918="",0,IF(SUMPRODUCT((Seguimientos!$A$2:$A$1013=A918)*(Seguimientos!$F$2:$F$1013=F918)*(Seguimientos!$B$2:$B$1013&gt;B918)*(Seguimientos!$H$2:$H$1013&lt;&gt;""))=0,1,0))</f>
        <v/>
      </c>
      <c r="K918" s="7">
        <f>A918&amp;"|"&amp;B918</f>
        <v/>
      </c>
      <c r="L918" s="13" t="inlineStr">
        <is>
          <t>El Sistema de Gestión de Seguridad de la Información – SGSI, realizó la contratación de la Orden Contractual de Servicios F-OCS-040 de 2025 con objeto “CONTRATAR EL SERVICIO DE AUDITORÍA INTERNA III PARA EL SISTEMA DE GESTIÓN DE SEGURIDAD DE LA INFORMACIÓN – SGSI BAJO LA NORMA ISO27001:2022, EL MODELO DE SEGURIDAD Y PRIVACIDAD DE LA INFORMACIÓN, EL CUMPLIMIENTO DE LA LEY 1581 DE 2012 Y DEMAS NORMATIVIDAD REGLAMENTARIA PARA LA VIGENCIA 2025”. De igual forma, se ha realizado la gestión pertinente con la Dirección de Planeación Institucional y la Dirección de Talento Humano – Capacitación y formación de Personal, para la inscripción del curso “Ciberseguridad: Respuesta ante incidentes” para ser cursado por la ingeniera María del Pilar Delgado Rodríguez funcionaria de la planta de personal de la Universidad de Cundinamarca, Grado 14 y con cargo Profesional Universitario I Código 3010, y designada mediante Resolución No. 140 del 30 de noviembre de 2022 como Coordinadora del Sistema de Gestión de Seguridad de la Información – SGSI. Por último, es importante mencionar que de acuerdo a las decisiones adoptadas en la Revisión por la Dirección la auditoría de certificación del sistema de gestión se realizará en la vigencia 2026. En la sesión de evidencias se encuentran los documentos ABSr099 Aceptación Orden Contractual y la trazabilidad de correo donde se evidencia la gestión realizada para la aprobación e inscripción del curso en mención.</t>
        </is>
      </c>
    </row>
    <row r="919">
      <c r="A919" s="7" t="inlineStr">
        <is>
          <t>sgsi-2024-1</t>
        </is>
      </c>
      <c r="B919" s="7" t="n">
        <v>2</v>
      </c>
      <c r="C919" s="7" t="inlineStr">
        <is>
          <t>SGSI</t>
        </is>
      </c>
      <c r="D919" s="7" t="inlineStr">
        <is>
          <t>2024</t>
        </is>
      </c>
      <c r="E919" s="7" t="n">
        <v>1</v>
      </c>
      <c r="F919" s="8" t="n">
        <v>45838</v>
      </c>
      <c r="G919" s="7" t="inlineStr">
        <is>
          <t>DANIEL EDUARDO SOTO BERNAL</t>
        </is>
      </c>
      <c r="H919" s="14" t="n">
        <v>1</v>
      </c>
      <c r="I919" s="15">
        <f>IF(H919="","",H919/2)</f>
        <v/>
      </c>
      <c r="J919" s="7">
        <f>IF(H919="",0,IF(SUMPRODUCT((Seguimientos!$A$2:$A$1013=A919)*(Seguimientos!$F$2:$F$1013=F919)*(Seguimientos!$B$2:$B$1013&gt;B919)*(Seguimientos!$H$2:$H$1013&lt;&gt;""))=0,1,0))</f>
        <v/>
      </c>
      <c r="K919" s="7">
        <f>A919&amp;"|"&amp;B919</f>
        <v/>
      </c>
      <c r="L919" s="13" t="inlineStr"/>
    </row>
    <row r="920">
      <c r="A920" s="7" t="inlineStr">
        <is>
          <t>sgsi-2024-1</t>
        </is>
      </c>
      <c r="B920" s="7" t="n">
        <v>3</v>
      </c>
      <c r="C920" s="7" t="inlineStr">
        <is>
          <t>SGSI</t>
        </is>
      </c>
      <c r="D920" s="7" t="inlineStr">
        <is>
          <t>2024</t>
        </is>
      </c>
      <c r="E920" s="7" t="n">
        <v>1</v>
      </c>
      <c r="F920" s="8" t="n">
        <v>45930</v>
      </c>
      <c r="G920" s="7" t="inlineStr">
        <is>
          <t>JOAN IMAYINNE GALVIS MORENO</t>
        </is>
      </c>
      <c r="H920" s="14" t="n">
        <v>1.5</v>
      </c>
      <c r="I920" s="15">
        <f>IF(H920="","",H920/2)</f>
        <v/>
      </c>
      <c r="J920" s="7">
        <f>IF(H920="",0,IF(SUMPRODUCT((Seguimientos!$A$2:$A$1013=A920)*(Seguimientos!$F$2:$F$1013=F920)*(Seguimientos!$B$2:$B$1013&gt;B920)*(Seguimientos!$H$2:$H$1013&lt;&gt;""))=0,1,0))</f>
        <v/>
      </c>
      <c r="K920" s="7">
        <f>A920&amp;"|"&amp;B920</f>
        <v/>
      </c>
      <c r="L920" s="13" t="inlineStr">
        <is>
          <t>El Sistema de Gestión de Seguridad de la Información (SGSI) ejecutó la Orden Contractual de Servicios F-OCS-040 de 2025, cuyo objeto fue la Auditoría Interna III del SGSI bajo la Norma ISO/IEC 27001:2022, el Modelo de Seguridad y Privacidad de la Información y la Ley 1581 de 2012, aplicable a nivel institucional en sede, seccionales y extensiones. En cumplimiento de las decisiones adoptadas en la Revisión por la Dirección, la ingeniera María del Pilar Delgado Rodríguez, Coordinadora del SGSI, culminó y aprobó el Diplomado en Ciberseguridad: Respuesta ante Incidentes en la Pontificia Universidad Javeriana. Finalmente, se tiene prevista la Auditoría de Certificación del SGSI para el primer semestre de la vigencia 2026. Por lo cual no se cierra lamactividad hasta tener el informe final de la auditoria</t>
        </is>
      </c>
    </row>
    <row r="921">
      <c r="A921" s="7" t="inlineStr">
        <is>
          <t>sgsi-2024-1</t>
        </is>
      </c>
      <c r="B921" s="7" t="n">
        <v>4</v>
      </c>
      <c r="C921" s="7" t="inlineStr">
        <is>
          <t>SGSI</t>
        </is>
      </c>
      <c r="D921" s="7" t="inlineStr">
        <is>
          <t>2024</t>
        </is>
      </c>
      <c r="E921" s="7" t="n">
        <v>1</v>
      </c>
      <c r="F921" s="8" t="n">
        <v>46021</v>
      </c>
      <c r="G921" s="7" t="inlineStr">
        <is>
          <t>JOAN IMAYINNE GALVIS MORENO</t>
        </is>
      </c>
      <c r="H921" s="14" t="n">
        <v>1.5</v>
      </c>
      <c r="I921" s="15">
        <f>IF(H921="","",H921/2)</f>
        <v/>
      </c>
      <c r="J921" s="7">
        <f>IF(H921="",0,IF(SUMPRODUCT((Seguimientos!$A$2:$A$1013=A921)*(Seguimientos!$F$2:$F$1013=F921)*(Seguimientos!$B$2:$B$1013&gt;B921)*(Seguimientos!$H$2:$H$1013&lt;&gt;""))=0,1,0))</f>
        <v/>
      </c>
      <c r="K921" s="7">
        <f>A921&amp;"|"&amp;B921</f>
        <v/>
      </c>
      <c r="L921" s="13" t="inlineStr">
        <is>
          <t>El Sistema de Gestion de Seguridad de la Informacion, realizo el cargur del ABS F-CD-123 con objeto " Contratar el Servicio de Auditoria de Certificación del Sistema de Gestion de Seguridad de la Informacion - SGSI de la Universidad de Cundinamarca bajo la norma ISO 27001:2022 la cual se llevara acabo en la Sede Fusagasugá incluyendo las Seccionales y Exensiones y la cual se encuentra en revisiones tecnicas, La cual se realizara en el segundo semestre de la vigencia 2026.</t>
        </is>
      </c>
    </row>
    <row r="922">
      <c r="A922" s="7" t="inlineStr">
        <is>
          <t>sgsi-2024-1</t>
        </is>
      </c>
      <c r="B922" s="7" t="n">
        <v>5</v>
      </c>
      <c r="C922" s="7" t="inlineStr">
        <is>
          <t>SGSI</t>
        </is>
      </c>
      <c r="D922" s="7" t="inlineStr">
        <is>
          <t>2024</t>
        </is>
      </c>
      <c r="E922" s="7" t="n">
        <v>1</v>
      </c>
      <c r="F922" s="8" t="n">
        <v>46142</v>
      </c>
      <c r="G922" s="7" t="inlineStr">
        <is>
          <t>JOAN IMAYINNE GALVIS MORENO</t>
        </is>
      </c>
      <c r="H922" s="14" t="n">
        <v>1.5</v>
      </c>
      <c r="I922" s="15">
        <f>IF(H922="","",H922/2)</f>
        <v/>
      </c>
      <c r="J922" s="7">
        <f>IF(H922="",0,IF(SUMPRODUCT((Seguimientos!$A$2:$A$1013=A922)*(Seguimientos!$F$2:$F$1013=F922)*(Seguimientos!$B$2:$B$1013&gt;B922)*(Seguimientos!$H$2:$H$1013&lt;&gt;""))=0,1,0))</f>
        <v/>
      </c>
      <c r="K922" s="7">
        <f>A922&amp;"|"&amp;B922</f>
        <v/>
      </c>
      <c r="L922" s="13" t="inlineStr">
        <is>
          <t>Aun no se cuenta con informe final.</t>
        </is>
      </c>
    </row>
    <row r="923">
      <c r="A923" s="7" t="inlineStr">
        <is>
          <t>sgsi-2024-1</t>
        </is>
      </c>
      <c r="B923" s="7" t="n">
        <v>6</v>
      </c>
      <c r="C923" s="7" t="inlineStr">
        <is>
          <t>SGSI</t>
        </is>
      </c>
      <c r="D923" s="7" t="inlineStr">
        <is>
          <t>2024</t>
        </is>
      </c>
      <c r="E923" s="7" t="n">
        <v>1</v>
      </c>
      <c r="F923" s="8" t="n">
        <v>46203</v>
      </c>
      <c r="G923" s="7" t="inlineStr">
        <is>
          <t>JOAN IMAYINNE GALVIS MORENO</t>
        </is>
      </c>
      <c r="H923" s="14" t="n">
        <v>1.5</v>
      </c>
      <c r="I923" s="15">
        <f>IF(H923="","",H923/2)</f>
        <v/>
      </c>
      <c r="J923" s="7">
        <f>IF(H923="",0,IF(SUMPRODUCT((Seguimientos!$A$2:$A$1013=A923)*(Seguimientos!$F$2:$F$1013=F923)*(Seguimientos!$B$2:$B$1013&gt;B923)*(Seguimientos!$H$2:$H$1013&lt;&gt;""))=0,1,0))</f>
        <v/>
      </c>
      <c r="K923" s="7">
        <f>A923&amp;"|"&amp;B923</f>
        <v/>
      </c>
      <c r="L923" s="13" t="inlineStr">
        <is>
          <t>Aun no se cuenta con informe final.</t>
        </is>
      </c>
    </row>
    <row r="924">
      <c r="A924" s="7" t="inlineStr">
        <is>
          <t>sgsi-2024-2</t>
        </is>
      </c>
      <c r="B924" s="7" t="n">
        <v>1</v>
      </c>
      <c r="C924" s="7" t="inlineStr">
        <is>
          <t>SGSI</t>
        </is>
      </c>
      <c r="D924" s="7" t="inlineStr">
        <is>
          <t>2024</t>
        </is>
      </c>
      <c r="E924" s="7" t="n">
        <v>2</v>
      </c>
      <c r="F924" s="8" t="n">
        <v>45777</v>
      </c>
      <c r="G924" s="7" t="inlineStr">
        <is>
          <t>DANIEL EDUARDO SOTO BERNAL</t>
        </is>
      </c>
      <c r="H924" s="14" t="n">
        <v>1</v>
      </c>
      <c r="I924" s="15">
        <f>IF(H924="","",H924/2)</f>
        <v/>
      </c>
      <c r="J924" s="7">
        <f>IF(H924="",0,IF(SUMPRODUCT((Seguimientos!$A$2:$A$1013=A924)*(Seguimientos!$F$2:$F$1013=F924)*(Seguimientos!$B$2:$B$1013&gt;B924)*(Seguimientos!$H$2:$H$1013&lt;&gt;""))=0,1,0))</f>
        <v/>
      </c>
      <c r="K924" s="7">
        <f>A924&amp;"|"&amp;B924</f>
        <v/>
      </c>
      <c r="L924" s="13" t="inlineStr">
        <is>
          <t>El día martes 18 de febrero de 2025 el Sistema de Gestión de Seguridad de la Información – SGSI, remitió por medio de correo electrónico a la Dirección de Control Interno el consolidado de los funcionarios que fueron designados en sede, seccionales y extensionales como agentes para registrar los activos de información en la vigencia 2024, pero no lo realizaron incumpliendo con la Ley 1712 de 2024 con el propósito de que se realizará el llamado de atención. Por lo anterior, desde el Sistema de Gestión de Seguridad de la Información – SGSI se dio por culminada la oportunidad de mejora. En la sesión de evidencias se encuentra la trazabilidad de correo donde se remitió la información.</t>
        </is>
      </c>
    </row>
    <row r="925">
      <c r="A925" s="7" t="inlineStr">
        <is>
          <t>sgsi-2024-2</t>
        </is>
      </c>
      <c r="B925" s="7" t="n">
        <v>2</v>
      </c>
      <c r="C925" s="7" t="inlineStr">
        <is>
          <t>SGSI</t>
        </is>
      </c>
      <c r="D925" s="7" t="inlineStr">
        <is>
          <t>2024</t>
        </is>
      </c>
      <c r="E925" s="7" t="n">
        <v>2</v>
      </c>
      <c r="F925" s="8" t="n">
        <v>45838</v>
      </c>
      <c r="G925" s="7" t="inlineStr">
        <is>
          <t>DANIEL EDUARDO SOTO BERNAL</t>
        </is>
      </c>
      <c r="H925" s="14" t="n">
        <v>1.5</v>
      </c>
      <c r="I925" s="15">
        <f>IF(H925="","",H925/2)</f>
        <v/>
      </c>
      <c r="J925" s="7">
        <f>IF(H925="",0,IF(SUMPRODUCT((Seguimientos!$A$2:$A$1013=A925)*(Seguimientos!$F$2:$F$1013=F925)*(Seguimientos!$B$2:$B$1013&gt;B925)*(Seguimientos!$H$2:$H$1013&lt;&gt;""))=0,1,0))</f>
        <v/>
      </c>
      <c r="K925" s="7">
        <f>A925&amp;"|"&amp;B925</f>
        <v/>
      </c>
      <c r="L925" s="13" t="inlineStr">
        <is>
          <t>Desde la Dirección de Control Interno, se llevaron a cabo acciones preventivas dirigidas a aquellos funcionarios que no asistieron a las capacitaciones y sensibilizaciones programadas, en cumplimiento con la Ley 1712 de 2024. Para el año 2025, se estableció la obligatoriedad de estas jornadas de formación, con el fin de subsanar cualquier incumplimiento previo. En caso de que se presenten faltas reiterativas, se procederá a remitir las situaciones a las instancias correspondientes para su resolución. Estas acciones de seguimiento continuarán hasta el corte de septiembre de 2025, garantizando el cumplimiento de los procedimientos establecidos y la mejora continua en el desarrollo de las funciones institucionales.</t>
        </is>
      </c>
    </row>
    <row r="926">
      <c r="A926" s="7" t="inlineStr">
        <is>
          <t>sgsi-2024-2</t>
        </is>
      </c>
      <c r="B926" s="7" t="n">
        <v>3</v>
      </c>
      <c r="C926" s="7" t="inlineStr">
        <is>
          <t>SGSI</t>
        </is>
      </c>
      <c r="D926" s="7" t="inlineStr">
        <is>
          <t>2024</t>
        </is>
      </c>
      <c r="E926" s="7" t="n">
        <v>2</v>
      </c>
      <c r="F926" s="8" t="n">
        <v>45930</v>
      </c>
      <c r="G926" s="7" t="inlineStr">
        <is>
          <t>JOAN IMAYINNE GALVIS MORENO</t>
        </is>
      </c>
      <c r="H926" s="14" t="n">
        <v>2</v>
      </c>
      <c r="I926" s="15">
        <f>IF(H926="","",H926/2)</f>
        <v/>
      </c>
      <c r="J926" s="7">
        <f>IF(H926="",0,IF(SUMPRODUCT((Seguimientos!$A$2:$A$1013=A926)*(Seguimientos!$F$2:$F$1013=F926)*(Seguimientos!$B$2:$B$1013&gt;B926)*(Seguimientos!$H$2:$H$1013&lt;&gt;""))=0,1,0))</f>
        <v/>
      </c>
      <c r="K926" s="7">
        <f>A926&amp;"|"&amp;B926</f>
        <v/>
      </c>
      <c r="L926" s="13" t="inlineStr">
        <is>
          <t>El 18 de febrero de 2025, el Sistema de Gestión de Seguridad de la Información (SGSI) remitió a la Dirección de Control Interno un consolidado de los funcionarios designados en sede, seccionales y extensiones como responsables del registro de activos de información durante la vigencia 2024, quienes no cumplieron con dicha obligación, en contravención de lo establecido en la Ley 1712 de 2014. Lo anterior, con el propósito de que se efectuara el respectivo llamado de atención. En atención a esta comunicación, la Dirección de Control Interno envió mediante Función Preventiva los respectivos correos a los funcionarios que no asistieron a las capacitaciones y sensibilizaciones programadas, en cumplimiento de lo dispuesto en la mencionada ley.</t>
        </is>
      </c>
    </row>
    <row r="927">
      <c r="A927" s="7" t="inlineStr">
        <is>
          <t>sgsi-2024-2</t>
        </is>
      </c>
      <c r="B927" s="7" t="n">
        <v>4</v>
      </c>
      <c r="C927" s="7" t="inlineStr">
        <is>
          <t>SGSI</t>
        </is>
      </c>
      <c r="D927" s="7" t="inlineStr">
        <is>
          <t>2024</t>
        </is>
      </c>
      <c r="E927" s="7" t="n">
        <v>2</v>
      </c>
      <c r="F927" s="8" t="n">
        <v>46021</v>
      </c>
      <c r="G927" s="7" t="inlineStr">
        <is>
          <t>JOAN IMAYINNE GALVIS MORENO</t>
        </is>
      </c>
      <c r="H927" s="14" t="n">
        <v>2</v>
      </c>
      <c r="I927" s="15">
        <f>IF(H927="","",H927/2)</f>
        <v/>
      </c>
      <c r="J927" s="7">
        <f>IF(H927="",0,IF(SUMPRODUCT((Seguimientos!$A$2:$A$1013=A927)*(Seguimientos!$F$2:$F$1013=F927)*(Seguimientos!$B$2:$B$1013&gt;B927)*(Seguimientos!$H$2:$H$1013&lt;&gt;""))=0,1,0))</f>
        <v/>
      </c>
      <c r="K927" s="7">
        <f>A927&amp;"|"&amp;B927</f>
        <v/>
      </c>
      <c r="L927" s="13" t="inlineStr">
        <is>
          <t>El 18 de febrero de 2025, el Sistema de Gestión de Seguridad de la Información (SGSI) remitió a la Dirección de Control Interno un consolidado de los funcionarios designados en sede, seccionales y extensiones como responsables del registro de activos de información durante la vigencia 2024, quienes no cumplieron con dicha obligación, en contravención de lo establecido en la Ley 1712 de 2014. Lo anterior, con el propósito de que se efectuara el respectivo llamado de atención. En atención a esta comunicación, la Dirección de Control Interno envió mediante Función Preventiva los respectivos correos a los funcionarios que no asistieron a las capacitaciones y sensibilizaciones programadas, en cumplimiento de lo dispuesto en la mencionada ley.</t>
        </is>
      </c>
    </row>
    <row r="928">
      <c r="A928" s="7" t="inlineStr">
        <is>
          <t>sgsi-2024-2</t>
        </is>
      </c>
      <c r="B928" s="7" t="n">
        <v>5</v>
      </c>
      <c r="C928" s="7" t="inlineStr">
        <is>
          <t>SGSI</t>
        </is>
      </c>
      <c r="D928" s="7" t="inlineStr">
        <is>
          <t>2024</t>
        </is>
      </c>
      <c r="E928" s="7" t="n">
        <v>2</v>
      </c>
      <c r="F928" s="8" t="n">
        <v>46142</v>
      </c>
      <c r="G928" s="7" t="inlineStr">
        <is>
          <t>JOAN IMAYINNE GALVIS MORENO</t>
        </is>
      </c>
      <c r="H928" s="14" t="n">
        <v>2</v>
      </c>
      <c r="I928" s="15">
        <f>IF(H928="","",H928/2)</f>
        <v/>
      </c>
      <c r="J928" s="7">
        <f>IF(H928="",0,IF(SUMPRODUCT((Seguimientos!$A$2:$A$1013=A928)*(Seguimientos!$F$2:$F$1013=F928)*(Seguimientos!$B$2:$B$1013&gt;B928)*(Seguimientos!$H$2:$H$1013&lt;&gt;""))=0,1,0))</f>
        <v/>
      </c>
      <c r="K928" s="7">
        <f>A928&amp;"|"&amp;B928</f>
        <v/>
      </c>
      <c r="L928" s="13" t="inlineStr">
        <is>
          <t>El 18 de febrero de 2025, el Sistema de Gestión de Seguridad de la Información (SGSI) remitió a la Dirección de Control Interno un consolidado de los funcionarios designados en sede, seccionales y extensiones como responsables del registro de activos de información durante la vigencia 2024, quienes no cumplieron con dicha obligación, en contravención de lo establecido en la Ley 1712 de 2014. Lo anterior, con el propósito de que se efectuara el respectivo llamado de atención. En atención a esta comunicación, la Dirección de Control Interno envió mediante Función Preventiva los respectivos correos a los funcionarios que no asistieron a las capacitaciones y sensibilizaciones programadas, en cumplimiento de lo dispuesto en la mencionada ley.</t>
        </is>
      </c>
    </row>
    <row r="929">
      <c r="A929" s="7" t="inlineStr">
        <is>
          <t>sgsi-2024-2</t>
        </is>
      </c>
      <c r="B929" s="7" t="n">
        <v>6</v>
      </c>
      <c r="C929" s="7" t="inlineStr">
        <is>
          <t>SGSI</t>
        </is>
      </c>
      <c r="D929" s="7" t="inlineStr">
        <is>
          <t>2024</t>
        </is>
      </c>
      <c r="E929" s="7" t="n">
        <v>2</v>
      </c>
      <c r="F929" s="8" t="n">
        <v>46203</v>
      </c>
      <c r="G929" s="7" t="inlineStr">
        <is>
          <t>JOAN IMAYINNE GALVIS MORENO</t>
        </is>
      </c>
      <c r="H929" s="14" t="n">
        <v>2</v>
      </c>
      <c r="I929" s="15">
        <f>IF(H929="","",H929/2)</f>
        <v/>
      </c>
      <c r="J929" s="7">
        <f>IF(H929="",0,IF(SUMPRODUCT((Seguimientos!$A$2:$A$1013=A929)*(Seguimientos!$F$2:$F$1013=F929)*(Seguimientos!$B$2:$B$1013&gt;B929)*(Seguimientos!$H$2:$H$1013&lt;&gt;""))=0,1,0))</f>
        <v/>
      </c>
      <c r="K929" s="7">
        <f>A929&amp;"|"&amp;B929</f>
        <v/>
      </c>
      <c r="L929" s="13" t="inlineStr">
        <is>
          <t>El 18 de febrero de 2025, el Sistema de Gestión de Seguridad de la Información (SGSI) remitió a la Dirección de Control Interno un consolidado de los funcionarios designados en sede, seccionales y extensiones como responsables del registro de activos de información durante la vigencia 2024, quienes no cumplieron con dicha obligación, en contravención de lo establecido en la Ley 1712 de 2014. Lo anterior, con el propósito de que se efectuara el respectivo llamado de atención. En atención a esta comunicación, la Dirección de Control Interno envió mediante Función Preventiva los respectivos correos a los funcionarios que no asistieron a las capacitaciones y sensibilizaciones programadas, en cumplimiento de lo dispuesto en la mencionada ley.</t>
        </is>
      </c>
    </row>
    <row r="930">
      <c r="A930" s="7" t="inlineStr">
        <is>
          <t>sgsi-2024-3</t>
        </is>
      </c>
      <c r="B930" s="7" t="n">
        <v>1</v>
      </c>
      <c r="C930" s="7" t="inlineStr">
        <is>
          <t>SGSI</t>
        </is>
      </c>
      <c r="D930" s="7" t="inlineStr">
        <is>
          <t>2024</t>
        </is>
      </c>
      <c r="E930" s="7" t="n">
        <v>3</v>
      </c>
      <c r="F930" s="8" t="n">
        <v>45777</v>
      </c>
      <c r="G930" s="7" t="inlineStr">
        <is>
          <t>DANIEL EDUARDO SOTO BERNAL</t>
        </is>
      </c>
      <c r="H930" s="14" t="n">
        <v>1</v>
      </c>
      <c r="I930" s="15">
        <f>IF(H930="","",H930/2)</f>
        <v/>
      </c>
      <c r="J930" s="7">
        <f>IF(H930="",0,IF(SUMPRODUCT((Seguimientos!$A$2:$A$1013=A930)*(Seguimientos!$F$2:$F$1013=F930)*(Seguimientos!$B$2:$B$1013&gt;B930)*(Seguimientos!$H$2:$H$1013&lt;&gt;""))=0,1,0))</f>
        <v/>
      </c>
      <c r="K930" s="7">
        <f>A930&amp;"|"&amp;B930</f>
        <v/>
      </c>
      <c r="L930" s="13" t="inlineStr">
        <is>
          <t>El día martes 18 de febrero de 2025 el Sistema de Gestión de Seguridad de la Información – SGSI, remitió por medio de correo electrónico a la Dirección de Control Interno el consolidado de los funcionarios que no participaron en las Jornadas de Sensibilización en Seguridad y Privacidad de la Información de la vigencia 2024, con el propósito de que se realizará el llamado de atención. Por lo anterior, desde el Sistema de Gestión de Seguridad de la Información – SGSI se dio por culminada la oportunidad de mejora. En la sesión de evidencias se encuentra la trazabilidad de correo donde se remitió la información.</t>
        </is>
      </c>
    </row>
    <row r="931">
      <c r="A931" s="7" t="inlineStr">
        <is>
          <t>sgsi-2024-3</t>
        </is>
      </c>
      <c r="B931" s="7" t="n">
        <v>2</v>
      </c>
      <c r="C931" s="7" t="inlineStr">
        <is>
          <t>SGSI</t>
        </is>
      </c>
      <c r="D931" s="7" t="inlineStr">
        <is>
          <t>2024</t>
        </is>
      </c>
      <c r="E931" s="7" t="n">
        <v>3</v>
      </c>
      <c r="F931" s="8" t="n">
        <v>45838</v>
      </c>
      <c r="G931" s="7" t="inlineStr">
        <is>
          <t>DANIEL EDUARDO SOTO BERNAL</t>
        </is>
      </c>
      <c r="H931" s="14" t="n">
        <v>1.5</v>
      </c>
      <c r="I931" s="15">
        <f>IF(H931="","",H931/2)</f>
        <v/>
      </c>
      <c r="J931" s="7">
        <f>IF(H931="",0,IF(SUMPRODUCT((Seguimientos!$A$2:$A$1013=A931)*(Seguimientos!$F$2:$F$1013=F931)*(Seguimientos!$B$2:$B$1013&gt;B931)*(Seguimientos!$H$2:$H$1013&lt;&gt;""))=0,1,0))</f>
        <v/>
      </c>
      <c r="K931" s="7">
        <f>A931&amp;"|"&amp;B931</f>
        <v/>
      </c>
      <c r="L931" s="13" t="inlineStr">
        <is>
          <t>Desde la Dirección de Control Interno, se llevaron a cabo acciones preventivas dirigidas a aquellos funcionarios que no asistieron a las capacitaciones y sensibilizaciones programadas, en cumplimiento con la Ley 1712 de 2024. Para el año 2025, se estableció la obligatoriedad de estas jornadas de formación, con el fin de subsanar cualquier incumplimiento previo. En caso de que se presenten faltas reiterativas, se procederá a remitir las situaciones a las instancias correspondientes para su resolución. Estas acciones de seguimiento continuarán hasta el corte de septiembre de 2025, garantizando el cumplimiento de los procedimientos establecidos y la mejora continua en el desarrollo de las funciones institucionales.</t>
        </is>
      </c>
    </row>
    <row r="932">
      <c r="A932" s="7" t="inlineStr">
        <is>
          <t>sgsi-2024-3</t>
        </is>
      </c>
      <c r="B932" s="7" t="n">
        <v>3</v>
      </c>
      <c r="C932" s="7" t="inlineStr">
        <is>
          <t>SGSI</t>
        </is>
      </c>
      <c r="D932" s="7" t="inlineStr">
        <is>
          <t>2024</t>
        </is>
      </c>
      <c r="E932" s="7" t="n">
        <v>3</v>
      </c>
      <c r="F932" s="8" t="n">
        <v>45930</v>
      </c>
      <c r="G932" s="7" t="inlineStr">
        <is>
          <t>JOAN IMAYINNE GALVIS MORENO</t>
        </is>
      </c>
      <c r="H932" s="14" t="n">
        <v>2</v>
      </c>
      <c r="I932" s="15">
        <f>IF(H932="","",H932/2)</f>
        <v/>
      </c>
      <c r="J932" s="7">
        <f>IF(H932="",0,IF(SUMPRODUCT((Seguimientos!$A$2:$A$1013=A932)*(Seguimientos!$F$2:$F$1013=F932)*(Seguimientos!$B$2:$B$1013&gt;B932)*(Seguimientos!$H$2:$H$1013&lt;&gt;""))=0,1,0))</f>
        <v/>
      </c>
      <c r="K932" s="7">
        <f>A932&amp;"|"&amp;B932</f>
        <v/>
      </c>
      <c r="L932" s="13" t="inlineStr">
        <is>
          <t>El 18 de febrero de 2025, el Sistema de Gestión de Seguridad de la Información – SGSI remitió, por medio de correo electrónico, a la Dirección de Control Interno el consolidado de los funcionarios que no asistieron a las Jornadas de Sensibilización en Seguridad y Privacidad de la Información, con el propósito de que se efectuara el llamado de atención correspondiente. En consecuencia, la Dirección de Control Interno envió, también por correo electrónico, la Función Preventiva a los funcionarios que no participaron en las jornadas de sensibilización mencionadas.</t>
        </is>
      </c>
    </row>
    <row r="933">
      <c r="A933" s="7" t="inlineStr">
        <is>
          <t>sgsi-2024-3</t>
        </is>
      </c>
      <c r="B933" s="7" t="n">
        <v>4</v>
      </c>
      <c r="C933" s="7" t="inlineStr">
        <is>
          <t>SGSI</t>
        </is>
      </c>
      <c r="D933" s="7" t="inlineStr">
        <is>
          <t>2024</t>
        </is>
      </c>
      <c r="E933" s="7" t="n">
        <v>3</v>
      </c>
      <c r="F933" s="8" t="n">
        <v>46021</v>
      </c>
      <c r="G933" s="7" t="inlineStr">
        <is>
          <t>JOAN IMAYINNE GALVIS MORENO</t>
        </is>
      </c>
      <c r="H933" s="14" t="n">
        <v>2</v>
      </c>
      <c r="I933" s="15">
        <f>IF(H933="","",H933/2)</f>
        <v/>
      </c>
      <c r="J933" s="7">
        <f>IF(H933="",0,IF(SUMPRODUCT((Seguimientos!$A$2:$A$1013=A933)*(Seguimientos!$F$2:$F$1013=F933)*(Seguimientos!$B$2:$B$1013&gt;B933)*(Seguimientos!$H$2:$H$1013&lt;&gt;""))=0,1,0))</f>
        <v/>
      </c>
      <c r="K933" s="7">
        <f>A933&amp;"|"&amp;B933</f>
        <v/>
      </c>
      <c r="L933" s="13" t="inlineStr">
        <is>
          <t>El 18 de febrero de 2025, el Sistema de Gestión de Seguridad de la Información – SGSI remitió, por medio de correo electrónico, a la Dirección de Control Interno el consolidado de los funcionarios que no asistieron a las Jornadas de Sensibilización en Seguridad y Privacidad de la Información, con el propósito de que se efectuara el llamado de atención correspondiente. En consecuencia, la Dirección de Control Interno envió, también por correo electrónico, la Función Preventiva a los funcionarios que no participaron en las jornadas de sensibilización mencionadas.</t>
        </is>
      </c>
    </row>
    <row r="934">
      <c r="A934" s="7" t="inlineStr">
        <is>
          <t>sgsi-2024-3</t>
        </is>
      </c>
      <c r="B934" s="7" t="n">
        <v>5</v>
      </c>
      <c r="C934" s="7" t="inlineStr">
        <is>
          <t>SGSI</t>
        </is>
      </c>
      <c r="D934" s="7" t="inlineStr">
        <is>
          <t>2024</t>
        </is>
      </c>
      <c r="E934" s="7" t="n">
        <v>3</v>
      </c>
      <c r="F934" s="8" t="n">
        <v>46142</v>
      </c>
      <c r="G934" s="7" t="inlineStr">
        <is>
          <t>JOAN IMAYINNE GALVIS MORENO</t>
        </is>
      </c>
      <c r="H934" s="14" t="n">
        <v>2</v>
      </c>
      <c r="I934" s="15">
        <f>IF(H934="","",H934/2)</f>
        <v/>
      </c>
      <c r="J934" s="7">
        <f>IF(H934="",0,IF(SUMPRODUCT((Seguimientos!$A$2:$A$1013=A934)*(Seguimientos!$F$2:$F$1013=F934)*(Seguimientos!$B$2:$B$1013&gt;B934)*(Seguimientos!$H$2:$H$1013&lt;&gt;""))=0,1,0))</f>
        <v/>
      </c>
      <c r="K934" s="7">
        <f>A934&amp;"|"&amp;B934</f>
        <v/>
      </c>
      <c r="L934" s="13" t="inlineStr">
        <is>
          <t>El 18 de febrero de 2025, el Sistema de Gestión de Seguridad de la Información – SGSI remitió, por medio de correo electrónico, a la Dirección de Control Interno el consolidado de los funcionarios que no asistieron a las Jornadas de Sensibilización en Seguridad y Privacidad de la Información, con el propósito de que se efectuara el llamado de atención correspondiente. En consecuencia, la Dirección de Control Interno envió, también por correo electrónico, la Función Preventiva a los funcionarios que no participaron en las jornadas de sensibilización mencionadas.</t>
        </is>
      </c>
    </row>
    <row r="935">
      <c r="A935" s="7" t="inlineStr">
        <is>
          <t>sgsi-2024-3</t>
        </is>
      </c>
      <c r="B935" s="7" t="n">
        <v>6</v>
      </c>
      <c r="C935" s="7" t="inlineStr">
        <is>
          <t>SGSI</t>
        </is>
      </c>
      <c r="D935" s="7" t="inlineStr">
        <is>
          <t>2024</t>
        </is>
      </c>
      <c r="E935" s="7" t="n">
        <v>3</v>
      </c>
      <c r="F935" s="8" t="n">
        <v>46203</v>
      </c>
      <c r="G935" s="7" t="inlineStr">
        <is>
          <t>JOAN IMAYINNE GALVIS MORENO</t>
        </is>
      </c>
      <c r="H935" s="14" t="n">
        <v>2</v>
      </c>
      <c r="I935" s="15">
        <f>IF(H935="","",H935/2)</f>
        <v/>
      </c>
      <c r="J935" s="7">
        <f>IF(H935="",0,IF(SUMPRODUCT((Seguimientos!$A$2:$A$1013=A935)*(Seguimientos!$F$2:$F$1013=F935)*(Seguimientos!$B$2:$B$1013&gt;B935)*(Seguimientos!$H$2:$H$1013&lt;&gt;""))=0,1,0))</f>
        <v/>
      </c>
      <c r="K935" s="7">
        <f>A935&amp;"|"&amp;B935</f>
        <v/>
      </c>
      <c r="L935" s="13" t="inlineStr">
        <is>
          <t>El 18 de febrero de 2025, el Sistema de Gestión de Seguridad de la Información – SGSI remitió, por medio de correo electrónico, a la Dirección de Control Interno el consolidado de los funcionarios que no asistieron a las Jornadas de Sensibilización en Seguridad y Privacidad de la Información, con el propósito de que se efectuara el llamado de atención correspondiente. En consecuencia, la Dirección de Control Interno envió, también por correo electrónico, la Función Preventiva a los funcionarios que no participaron en las jornadas de sensibilización mencionadas.</t>
        </is>
      </c>
    </row>
    <row r="936">
      <c r="A936" s="7" t="inlineStr">
        <is>
          <t>sgsi-2024-4</t>
        </is>
      </c>
      <c r="B936" s="7" t="n">
        <v>1</v>
      </c>
      <c r="C936" s="7" t="inlineStr">
        <is>
          <t>SGSI</t>
        </is>
      </c>
      <c r="D936" s="7" t="inlineStr">
        <is>
          <t>2024</t>
        </is>
      </c>
      <c r="E936" s="7" t="n">
        <v>4</v>
      </c>
      <c r="F936" s="8" t="n">
        <v>45777</v>
      </c>
      <c r="G936" s="7" t="inlineStr">
        <is>
          <t>DANIEL EDUARDO SOTO BERNAL</t>
        </is>
      </c>
      <c r="H936" s="14" t="n">
        <v>0</v>
      </c>
      <c r="I936" s="15">
        <f>IF(H936="","",H936/2)</f>
        <v/>
      </c>
      <c r="J936" s="7">
        <f>IF(H936="",0,IF(SUMPRODUCT((Seguimientos!$A$2:$A$1013=A936)*(Seguimientos!$F$2:$F$1013=F936)*(Seguimientos!$B$2:$B$1013&gt;B936)*(Seguimientos!$H$2:$H$1013&lt;&gt;""))=0,1,0))</f>
        <v/>
      </c>
      <c r="K936" s="7">
        <f>A936&amp;"|"&amp;B936</f>
        <v/>
      </c>
      <c r="L936" s="13" t="inlineStr">
        <is>
          <t>La Oportunidad de Mejora deberá ser atendida por las áreas involucradas.</t>
        </is>
      </c>
    </row>
    <row r="937">
      <c r="A937" s="7" t="inlineStr">
        <is>
          <t>sgsi-2024-4</t>
        </is>
      </c>
      <c r="B937" s="7" t="n">
        <v>2</v>
      </c>
      <c r="C937" s="7" t="inlineStr">
        <is>
          <t>SGSI</t>
        </is>
      </c>
      <c r="D937" s="7" t="inlineStr">
        <is>
          <t>2024</t>
        </is>
      </c>
      <c r="E937" s="7" t="n">
        <v>4</v>
      </c>
      <c r="F937" s="8" t="n">
        <v>45838</v>
      </c>
      <c r="G937" s="7" t="inlineStr">
        <is>
          <t>DANIEL EDUARDO SOTO BERNAL</t>
        </is>
      </c>
      <c r="H937" s="14" t="n">
        <v>1</v>
      </c>
      <c r="I937" s="15">
        <f>IF(H937="","",H937/2)</f>
        <v/>
      </c>
      <c r="J937" s="7">
        <f>IF(H937="",0,IF(SUMPRODUCT((Seguimientos!$A$2:$A$1013=A937)*(Seguimientos!$F$2:$F$1013=F937)*(Seguimientos!$B$2:$B$1013&gt;B937)*(Seguimientos!$H$2:$H$1013&lt;&gt;""))=0,1,0))</f>
        <v/>
      </c>
      <c r="K937" s="7">
        <f>A937&amp;"|"&amp;B937</f>
        <v/>
      </c>
      <c r="L937" s="13" t="inlineStr">
        <is>
          <t>La Dirección de Sistemas y Tecnología realizó la formulación y publicación de la guía para el cifrado de la información, con el fin de aplicarlos en él envió de información sensible. De igual manera, está en proceso de adjudicación de contrato el ABS 031, el cual está relacionado con la licencia de Adobe Acrobat para el cifrado de archivos PDF. Es importante mencionar que, el procedimiento y manual para el cifrado de información, está en proceso de formalización, de igual manera, se anexa evidencia.</t>
        </is>
      </c>
    </row>
    <row r="938">
      <c r="A938" s="7" t="inlineStr">
        <is>
          <t>sgsi-2024-4</t>
        </is>
      </c>
      <c r="B938" s="7" t="n">
        <v>3</v>
      </c>
      <c r="C938" s="7" t="inlineStr">
        <is>
          <t>SGSI</t>
        </is>
      </c>
      <c r="D938" s="7" t="inlineStr">
        <is>
          <t>2024</t>
        </is>
      </c>
      <c r="E938" s="7" t="n">
        <v>4</v>
      </c>
      <c r="F938" s="8" t="n">
        <v>45930</v>
      </c>
      <c r="G938" s="7" t="inlineStr">
        <is>
          <t>JOAN IMAYINNE GALVIS MORENO</t>
        </is>
      </c>
      <c r="H938" s="14" t="n">
        <v>1.5</v>
      </c>
      <c r="I938" s="15">
        <f>IF(H938="","",H938/2)</f>
        <v/>
      </c>
      <c r="J938" s="7">
        <f>IF(H938="",0,IF(SUMPRODUCT((Seguimientos!$A$2:$A$1013=A938)*(Seguimientos!$F$2:$F$1013=F938)*(Seguimientos!$B$2:$B$1013&gt;B938)*(Seguimientos!$H$2:$H$1013&lt;&gt;""))=0,1,0))</f>
        <v/>
      </c>
      <c r="K938" s="7">
        <f>A938&amp;"|"&amp;B938</f>
        <v/>
      </c>
      <c r="L938" s="13" t="inlineStr">
        <is>
          <t>La Dirección de Sistemas y Tecnología elaboró el procedimiento ASIPXX_V1 – Controles Criptográficos y el manual ASIMXX_V1 – Manual de Uso de la Criptografía, los cuales se incluirán en el SAD de octubre para su formalización y posterior publicación en el Modelo de Operación Digital. Se adjuntan los borradores correspondientes a ambos documentos, se espera en el proximo seguimiento tener los procedimientos y manuales formalizados</t>
        </is>
      </c>
    </row>
    <row r="939">
      <c r="A939" s="7" t="inlineStr">
        <is>
          <t>sgsi-2024-4</t>
        </is>
      </c>
      <c r="B939" s="7" t="n">
        <v>4</v>
      </c>
      <c r="C939" s="7" t="inlineStr">
        <is>
          <t>SGSI</t>
        </is>
      </c>
      <c r="D939" s="7" t="inlineStr">
        <is>
          <t>2024</t>
        </is>
      </c>
      <c r="E939" s="7" t="n">
        <v>4</v>
      </c>
      <c r="F939" s="8" t="n">
        <v>46021</v>
      </c>
      <c r="G939" s="7" t="inlineStr">
        <is>
          <t>JOAN IMAYINNE GALVIS MORENO</t>
        </is>
      </c>
      <c r="H939" s="14" t="n">
        <v>2</v>
      </c>
      <c r="I939" s="15">
        <f>IF(H939="","",H939/2)</f>
        <v/>
      </c>
      <c r="J939" s="7">
        <f>IF(H939="",0,IF(SUMPRODUCT((Seguimientos!$A$2:$A$1013=A939)*(Seguimientos!$F$2:$F$1013=F939)*(Seguimientos!$B$2:$B$1013&gt;B939)*(Seguimientos!$H$2:$H$1013&lt;&gt;""))=0,1,0))</f>
        <v/>
      </c>
      <c r="K939" s="7">
        <f>A939&amp;"|"&amp;B939</f>
        <v/>
      </c>
      <c r="L939" s="13" t="inlineStr">
        <is>
          <t>La Dirección de Sistemas y Tecnología elaboró la actualizacion de los siguientes documentos los cuales se encuentran formalizados en el Sistema de Gestion de Calidad: ASIP37 - Controles Criptograficos ASIM023 - Manual de Uso de la Criptografía ASIG011 - Cifrado de informacion en archivos, carpetas y mensajes de correo electronico.</t>
        </is>
      </c>
    </row>
    <row r="940">
      <c r="A940" s="7" t="inlineStr">
        <is>
          <t>sgsi-2024-4</t>
        </is>
      </c>
      <c r="B940" s="7" t="n">
        <v>5</v>
      </c>
      <c r="C940" s="7" t="inlineStr">
        <is>
          <t>SGSI</t>
        </is>
      </c>
      <c r="D940" s="7" t="inlineStr">
        <is>
          <t>2024</t>
        </is>
      </c>
      <c r="E940" s="7" t="n">
        <v>4</v>
      </c>
      <c r="F940" s="8" t="n">
        <v>46142</v>
      </c>
      <c r="G940" s="7" t="inlineStr">
        <is>
          <t>JOAN IMAYINNE GALVIS MORENO</t>
        </is>
      </c>
      <c r="H940" s="14" t="n">
        <v>2</v>
      </c>
      <c r="I940" s="15">
        <f>IF(H940="","",H940/2)</f>
        <v/>
      </c>
      <c r="J940" s="7">
        <f>IF(H940="",0,IF(SUMPRODUCT((Seguimientos!$A$2:$A$1013=A940)*(Seguimientos!$F$2:$F$1013=F940)*(Seguimientos!$B$2:$B$1013&gt;B940)*(Seguimientos!$H$2:$H$1013&lt;&gt;""))=0,1,0))</f>
        <v/>
      </c>
      <c r="K940" s="7">
        <f>A940&amp;"|"&amp;B940</f>
        <v/>
      </c>
      <c r="L940" s="13" t="inlineStr">
        <is>
          <t>La Dirección de Sistemas y Tecnología elaboró la actualizacion de los siguientes documentos los cuales se encuentran formalizados en el Sistema de Gestion de Calidad: ASIP37 - Controles Criptograficos ASIM023 - Manual de Uso de la Criptografía ASIG011 - Cifrado de informacion en archivos, carpetas y mensajes de correo electronico.</t>
        </is>
      </c>
    </row>
    <row r="941">
      <c r="A941" s="7" t="inlineStr">
        <is>
          <t>sgsi-2024-4</t>
        </is>
      </c>
      <c r="B941" s="7" t="n">
        <v>6</v>
      </c>
      <c r="C941" s="7" t="inlineStr">
        <is>
          <t>SGSI</t>
        </is>
      </c>
      <c r="D941" s="7" t="inlineStr">
        <is>
          <t>2024</t>
        </is>
      </c>
      <c r="E941" s="7" t="n">
        <v>4</v>
      </c>
      <c r="F941" s="8" t="n">
        <v>46203</v>
      </c>
      <c r="G941" s="7" t="inlineStr">
        <is>
          <t>JOAN IMAYINNE GALVIS MORENO</t>
        </is>
      </c>
      <c r="H941" s="14" t="n">
        <v>2</v>
      </c>
      <c r="I941" s="15">
        <f>IF(H941="","",H941/2)</f>
        <v/>
      </c>
      <c r="J941" s="7">
        <f>IF(H941="",0,IF(SUMPRODUCT((Seguimientos!$A$2:$A$1013=A941)*(Seguimientos!$F$2:$F$1013=F941)*(Seguimientos!$B$2:$B$1013&gt;B941)*(Seguimientos!$H$2:$H$1013&lt;&gt;""))=0,1,0))</f>
        <v/>
      </c>
      <c r="K941" s="7">
        <f>A941&amp;"|"&amp;B941</f>
        <v/>
      </c>
      <c r="L941" s="13" t="inlineStr">
        <is>
          <t>La Dirección de Sistemas y Tecnología elaboró la actualizacion de los siguientes documentos los cuales se encuentran formalizados en el Sistema de Gestion de Calidad: ASIP37 - Controles Criptograficos ASIM023 - Manual de Uso de la Criptografía ASIG011 - Cifrado de informacion en archivos, carpetas y mensajes de correo electronico.</t>
        </is>
      </c>
    </row>
    <row r="942">
      <c r="A942" s="7" t="inlineStr">
        <is>
          <t>sgsi-2024-5</t>
        </is>
      </c>
      <c r="B942" s="7" t="n">
        <v>1</v>
      </c>
      <c r="C942" s="7" t="inlineStr">
        <is>
          <t>SGSI</t>
        </is>
      </c>
      <c r="D942" s="7" t="inlineStr">
        <is>
          <t>2024</t>
        </is>
      </c>
      <c r="E942" s="7" t="n">
        <v>5</v>
      </c>
      <c r="F942" s="8" t="n">
        <v>45777</v>
      </c>
      <c r="G942" s="7" t="inlineStr">
        <is>
          <t>DANIEL EDUARDO SOTO BERNAL</t>
        </is>
      </c>
      <c r="H942" s="14" t="n">
        <v>0</v>
      </c>
      <c r="I942" s="15">
        <f>IF(H942="","",H942/2)</f>
        <v/>
      </c>
      <c r="J942" s="7">
        <f>IF(H942="",0,IF(SUMPRODUCT((Seguimientos!$A$2:$A$1013=A942)*(Seguimientos!$F$2:$F$1013=F942)*(Seguimientos!$B$2:$B$1013&gt;B942)*(Seguimientos!$H$2:$H$1013&lt;&gt;""))=0,1,0))</f>
        <v/>
      </c>
      <c r="K942" s="7">
        <f>A942&amp;"|"&amp;B942</f>
        <v/>
      </c>
      <c r="L942" s="13" t="inlineStr">
        <is>
          <t>La Oportunidad de Mejora deberá ser atendida por las áreas involucradas.</t>
        </is>
      </c>
    </row>
    <row r="943">
      <c r="A943" s="7" t="inlineStr">
        <is>
          <t>sgsi-2024-5</t>
        </is>
      </c>
      <c r="B943" s="7" t="n">
        <v>2</v>
      </c>
      <c r="C943" s="7" t="inlineStr">
        <is>
          <t>SGSI</t>
        </is>
      </c>
      <c r="D943" s="7" t="inlineStr">
        <is>
          <t>2024</t>
        </is>
      </c>
      <c r="E943" s="7" t="n">
        <v>5</v>
      </c>
      <c r="F943" s="8" t="n">
        <v>45838</v>
      </c>
      <c r="G943" s="7" t="inlineStr">
        <is>
          <t>DANIEL EDUARDO SOTO BERNAL</t>
        </is>
      </c>
      <c r="H943" s="14" t="n">
        <v>1.5</v>
      </c>
      <c r="I943" s="15">
        <f>IF(H943="","",H943/2)</f>
        <v/>
      </c>
      <c r="J943" s="7">
        <f>IF(H943="",0,IF(SUMPRODUCT((Seguimientos!$A$2:$A$1013=A943)*(Seguimientos!$F$2:$F$1013=F943)*(Seguimientos!$B$2:$B$1013&gt;B943)*(Seguimientos!$H$2:$H$1013&lt;&gt;""))=0,1,0))</f>
        <v/>
      </c>
      <c r="K943" s="7">
        <f>A943&amp;"|"&amp;B943</f>
        <v/>
      </c>
      <c r="L943" s="13" t="inlineStr">
        <is>
          <t>La Dirección de Investigación y la Dirección de Control Interno realizaron la solicitud a la Dirección de Sistemas y Tecnología, con el fin de realizar la sincronización activa del OneDrive de los equipos de computo del área. Por medio del rol de vigías de seguridad de la información se verificó que todos los equipos de las Direcciones cuentan con copias de respaldo de la información de acuerdo con el ASIP25 “COPIA DE SEGURIDAD DE LA INFORMACION” De esta actividad se puede evidenciar que no se adjunta ticket de solicitud por la mesa de servicios, al igual revisando lo consolidan el informe el documento en PDF no está dentro de un informe enmarcada en el sistema de gestión de calidad y verificando los datos no coincide el equipo asignado con el funcionario que se encuentran en el informe.</t>
        </is>
      </c>
    </row>
    <row r="944">
      <c r="A944" s="7" t="inlineStr">
        <is>
          <t>sgsi-2024-5</t>
        </is>
      </c>
      <c r="B944" s="7" t="n">
        <v>3</v>
      </c>
      <c r="C944" s="7" t="inlineStr">
        <is>
          <t>SGSI</t>
        </is>
      </c>
      <c r="D944" s="7" t="inlineStr">
        <is>
          <t>2024</t>
        </is>
      </c>
      <c r="E944" s="7" t="n">
        <v>5</v>
      </c>
      <c r="F944" s="8" t="n">
        <v>45930</v>
      </c>
      <c r="G944" s="7" t="inlineStr">
        <is>
          <t>JOAN IMAYINNE GALVIS MORENO</t>
        </is>
      </c>
      <c r="H944" s="14" t="n">
        <v>2</v>
      </c>
      <c r="I944" s="15">
        <f>IF(H944="","",H944/2)</f>
        <v/>
      </c>
      <c r="J944" s="7">
        <f>IF(H944="",0,IF(SUMPRODUCT((Seguimientos!$A$2:$A$1013=A944)*(Seguimientos!$F$2:$F$1013=F944)*(Seguimientos!$B$2:$B$1013&gt;B944)*(Seguimientos!$H$2:$H$1013&lt;&gt;""))=0,1,0))</f>
        <v/>
      </c>
      <c r="K944" s="7">
        <f>A944&amp;"|"&amp;B944</f>
        <v/>
      </c>
      <c r="L944" s="13" t="inlineStr">
        <is>
          <t>La Dirección de Sistemas y Tecnología informó que no recibió solicitudes de sincronización con OneDrive por parte de la Dirección de Investigación ni de la Dirección de Control Interno. Sin embargo, cuenta con un cronograma semestral de mantenimientos preventivos y correctivos, durante los cuales se realiza la revisión y sincronización de los equipos. Ademas según evidencias de junio de 2025 y verificaciones del SGSI, ambas direcciones cuentan con OneDrive debidamente sincronizado.</t>
        </is>
      </c>
    </row>
    <row r="945">
      <c r="A945" s="7" t="inlineStr">
        <is>
          <t>sgsi-2024-5</t>
        </is>
      </c>
      <c r="B945" s="7" t="n">
        <v>4</v>
      </c>
      <c r="C945" s="7" t="inlineStr">
        <is>
          <t>SGSI</t>
        </is>
      </c>
      <c r="D945" s="7" t="inlineStr">
        <is>
          <t>2024</t>
        </is>
      </c>
      <c r="E945" s="7" t="n">
        <v>5</v>
      </c>
      <c r="F945" s="8" t="n">
        <v>46021</v>
      </c>
      <c r="G945" s="7" t="inlineStr">
        <is>
          <t>JOAN IMAYINNE GALVIS MORENO</t>
        </is>
      </c>
      <c r="H945" s="14" t="n">
        <v>2</v>
      </c>
      <c r="I945" s="15">
        <f>IF(H945="","",H945/2)</f>
        <v/>
      </c>
      <c r="J945" s="7">
        <f>IF(H945="",0,IF(SUMPRODUCT((Seguimientos!$A$2:$A$1013=A945)*(Seguimientos!$F$2:$F$1013=F945)*(Seguimientos!$B$2:$B$1013&gt;B945)*(Seguimientos!$H$2:$H$1013&lt;&gt;""))=0,1,0))</f>
        <v/>
      </c>
      <c r="K945" s="7">
        <f>A945&amp;"|"&amp;B945</f>
        <v/>
      </c>
      <c r="L945" s="13" t="inlineStr">
        <is>
          <t>La Dirección de Sistemas y Tecnología informó que no recibió solicitudes de sincronización con OneDrive por parte de la Dirección de Investigación ni de la Dirección de Control Interno. Sin embargo, cuenta con un cronograma semestral de mantenimientos preventivos y correctivos, durante los cuales se realiza la revisión y sincronización de los equipos. Ademas según evidencias de junio de 2025 y verificaciones del SGSI, ambas direcciones cuentan con OneDrive debidamente sincronizado.</t>
        </is>
      </c>
    </row>
    <row r="946">
      <c r="A946" s="7" t="inlineStr">
        <is>
          <t>sgsi-2024-5</t>
        </is>
      </c>
      <c r="B946" s="7" t="n">
        <v>5</v>
      </c>
      <c r="C946" s="7" t="inlineStr">
        <is>
          <t>SGSI</t>
        </is>
      </c>
      <c r="D946" s="7" t="inlineStr">
        <is>
          <t>2024</t>
        </is>
      </c>
      <c r="E946" s="7" t="n">
        <v>5</v>
      </c>
      <c r="F946" s="8" t="n">
        <v>46142</v>
      </c>
      <c r="G946" s="7" t="inlineStr">
        <is>
          <t>JOAN IMAYINNE GALVIS MORENO</t>
        </is>
      </c>
      <c r="H946" s="14" t="n">
        <v>2</v>
      </c>
      <c r="I946" s="15">
        <f>IF(H946="","",H946/2)</f>
        <v/>
      </c>
      <c r="J946" s="7">
        <f>IF(H946="",0,IF(SUMPRODUCT((Seguimientos!$A$2:$A$1013=A946)*(Seguimientos!$F$2:$F$1013=F946)*(Seguimientos!$B$2:$B$1013&gt;B946)*(Seguimientos!$H$2:$H$1013&lt;&gt;""))=0,1,0))</f>
        <v/>
      </c>
      <c r="K946" s="7">
        <f>A946&amp;"|"&amp;B946</f>
        <v/>
      </c>
      <c r="L946" s="13" t="inlineStr">
        <is>
          <t>La Dirección de Sistemas y Tecnología informó que no recibió solicitudes de sincronización con OneDrive por parte de la Dirección de Investigación ni de la Dirección de Control Interno. Sin embargo, cuenta con un cronograma semestral de mantenimientos preventivos y correctivos, durante los cuales se realiza la revisión y sincronización de los equipos. Ademas según evidencias de junio de 2025 y verificaciones del SGSI, ambas direcciones cuentan con OneDrive debidamente sincronizado.</t>
        </is>
      </c>
    </row>
    <row r="947">
      <c r="A947" s="7" t="inlineStr">
        <is>
          <t>sgsi-2024-5</t>
        </is>
      </c>
      <c r="B947" s="7" t="n">
        <v>6</v>
      </c>
      <c r="C947" s="7" t="inlineStr">
        <is>
          <t>SGSI</t>
        </is>
      </c>
      <c r="D947" s="7" t="inlineStr">
        <is>
          <t>2024</t>
        </is>
      </c>
      <c r="E947" s="7" t="n">
        <v>5</v>
      </c>
      <c r="F947" s="8" t="n">
        <v>46203</v>
      </c>
      <c r="G947" s="7" t="inlineStr">
        <is>
          <t>JOAN IMAYINNE GALVIS MORENO</t>
        </is>
      </c>
      <c r="H947" s="14" t="n">
        <v>2</v>
      </c>
      <c r="I947" s="15">
        <f>IF(H947="","",H947/2)</f>
        <v/>
      </c>
      <c r="J947" s="7">
        <f>IF(H947="",0,IF(SUMPRODUCT((Seguimientos!$A$2:$A$1013=A947)*(Seguimientos!$F$2:$F$1013=F947)*(Seguimientos!$B$2:$B$1013&gt;B947)*(Seguimientos!$H$2:$H$1013&lt;&gt;""))=0,1,0))</f>
        <v/>
      </c>
      <c r="K947" s="7">
        <f>A947&amp;"|"&amp;B947</f>
        <v/>
      </c>
      <c r="L947" s="13" t="inlineStr">
        <is>
          <t>La Dirección de Sistemas y Tecnología informó que no recibió solicitudes de sincronización con OneDrive por parte de la Dirección de Investigación ni de la Dirección de Control Interno. Sin embargo, cuenta con un cronograma semestral de mantenimientos preventivos y correctivos, durante los cuales se realiza la revisión y sincronización de los equipos. Ademas según evidencias de junio de 2025 y verificaciones del SGSI, ambas direcciones cuentan con OneDrive debidamente sincronizado.</t>
        </is>
      </c>
    </row>
    <row r="948">
      <c r="A948" s="7" t="inlineStr">
        <is>
          <t>sgsi-2024-6</t>
        </is>
      </c>
      <c r="B948" s="7" t="n">
        <v>1</v>
      </c>
      <c r="C948" s="7" t="inlineStr">
        <is>
          <t>SGSI</t>
        </is>
      </c>
      <c r="D948" s="7" t="inlineStr">
        <is>
          <t>2024</t>
        </is>
      </c>
      <c r="E948" s="7" t="n">
        <v>6</v>
      </c>
      <c r="F948" s="8" t="n">
        <v>45777</v>
      </c>
      <c r="G948" s="7" t="inlineStr">
        <is>
          <t>DANIEL EDUARDO SOTO BERNAL</t>
        </is>
      </c>
      <c r="H948" s="14" t="n">
        <v>1</v>
      </c>
      <c r="I948" s="15">
        <f>IF(H948="","",H948/2)</f>
        <v/>
      </c>
      <c r="J948" s="7">
        <f>IF(H948="",0,IF(SUMPRODUCT((Seguimientos!$A$2:$A$1013=A948)*(Seguimientos!$F$2:$F$1013=F948)*(Seguimientos!$B$2:$B$1013&gt;B948)*(Seguimientos!$H$2:$H$1013&lt;&gt;""))=0,1,0))</f>
        <v/>
      </c>
      <c r="K948" s="7">
        <f>A948&amp;"|"&amp;B948</f>
        <v/>
      </c>
      <c r="L948" s="13" t="inlineStr">
        <is>
          <t>El Sistema de Gestión de Seguridad de la Información – SGSI ha solicitado en reiteradas ocasiones a la Dirección de Planeación Institucional y a la oficina de Recursos Físicos y Servicios Generales la importancia de realizar el traslado de los funcionarios del SGSI, teniendo en cuenta que la infraestructura de la oficina ubicada en el Bloque – D 201 presenta afectaciones por las filtraciones de agua por las lluvias presentadas y se han presentado daños irreparables en activos de la información de tipo Hardware como equipos de cómputo e impresora. Sin embargo, hasta el momento no han realizado el traslado de la oficina del SGSI. En la sesión de evidencias se encuentra la trazabilidad de correo con las solicitudes realizadas y las evidencias fotográficas.</t>
        </is>
      </c>
    </row>
    <row r="949">
      <c r="A949" s="7" t="inlineStr">
        <is>
          <t>sgsi-2024-6</t>
        </is>
      </c>
      <c r="B949" s="7" t="n">
        <v>2</v>
      </c>
      <c r="C949" s="7" t="inlineStr">
        <is>
          <t>SGSI</t>
        </is>
      </c>
      <c r="D949" s="7" t="inlineStr">
        <is>
          <t>2024</t>
        </is>
      </c>
      <c r="E949" s="7" t="n">
        <v>6</v>
      </c>
      <c r="F949" s="8" t="n">
        <v>45838</v>
      </c>
      <c r="G949" s="7" t="inlineStr">
        <is>
          <t>DANIEL EDUARDO SOTO BERNAL</t>
        </is>
      </c>
      <c r="H949" s="14" t="n">
        <v>1</v>
      </c>
      <c r="I949" s="15">
        <f>IF(H949="","",H949/2)</f>
        <v/>
      </c>
      <c r="J949" s="7">
        <f>IF(H949="",0,IF(SUMPRODUCT((Seguimientos!$A$2:$A$1013=A949)*(Seguimientos!$F$2:$F$1013=F949)*(Seguimientos!$B$2:$B$1013&gt;B949)*(Seguimientos!$H$2:$H$1013&lt;&gt;""))=0,1,0))</f>
        <v/>
      </c>
      <c r="K949" s="7">
        <f>A949&amp;"|"&amp;B949</f>
        <v/>
      </c>
      <c r="L949" s="13" t="inlineStr"/>
    </row>
    <row r="950">
      <c r="A950" s="7" t="inlineStr">
        <is>
          <t>sgsi-2024-6</t>
        </is>
      </c>
      <c r="B950" s="7" t="n">
        <v>3</v>
      </c>
      <c r="C950" s="7" t="inlineStr">
        <is>
          <t>SGSI</t>
        </is>
      </c>
      <c r="D950" s="7" t="inlineStr">
        <is>
          <t>2024</t>
        </is>
      </c>
      <c r="E950" s="7" t="n">
        <v>6</v>
      </c>
      <c r="F950" s="8" t="n">
        <v>45930</v>
      </c>
      <c r="G950" s="7" t="inlineStr">
        <is>
          <t>JOAN IMAYINNE GALVIS MORENO</t>
        </is>
      </c>
      <c r="H950" s="14" t="n">
        <v>1</v>
      </c>
      <c r="I950" s="15">
        <f>IF(H950="","",H950/2)</f>
        <v/>
      </c>
      <c r="J950" s="7">
        <f>IF(H950="",0,IF(SUMPRODUCT((Seguimientos!$A$2:$A$1013=A950)*(Seguimientos!$F$2:$F$1013=F950)*(Seguimientos!$B$2:$B$1013&gt;B950)*(Seguimientos!$H$2:$H$1013&lt;&gt;""))=0,1,0))</f>
        <v/>
      </c>
      <c r="K950" s="7">
        <f>A950&amp;"|"&amp;B950</f>
        <v/>
      </c>
      <c r="L950" s="13" t="inlineStr">
        <is>
          <t>El SGSI ha solicitado reiteradamente su traslado debido a filtraciones de agua en la oficina del Bloque D–201, que han causado daños en equipos de información. Sin embargo, no se ha realizado el traslado. Se recomienda escalar la situación a las áreas competentes, ya que el SGSI no puede decidir su reubicación. Se recomienda a la Direccion de Planeacion Institucional tomar accion.</t>
        </is>
      </c>
    </row>
    <row r="951">
      <c r="A951" s="7" t="inlineStr">
        <is>
          <t>sgsi-2024-6</t>
        </is>
      </c>
      <c r="B951" s="7" t="n">
        <v>4</v>
      </c>
      <c r="C951" s="7" t="inlineStr">
        <is>
          <t>SGSI</t>
        </is>
      </c>
      <c r="D951" s="7" t="inlineStr">
        <is>
          <t>2024</t>
        </is>
      </c>
      <c r="E951" s="7" t="n">
        <v>6</v>
      </c>
      <c r="F951" s="8" t="n">
        <v>46021</v>
      </c>
      <c r="G951" s="7" t="inlineStr">
        <is>
          <t>JOAN IMAYINNE GALVIS MORENO</t>
        </is>
      </c>
      <c r="H951" s="14" t="n">
        <v>1</v>
      </c>
      <c r="I951" s="15">
        <f>IF(H951="","",H951/2)</f>
        <v/>
      </c>
      <c r="J951" s="7">
        <f>IF(H951="",0,IF(SUMPRODUCT((Seguimientos!$A$2:$A$1013=A951)*(Seguimientos!$F$2:$F$1013=F951)*(Seguimientos!$B$2:$B$1013&gt;B951)*(Seguimientos!$H$2:$H$1013&lt;&gt;""))=0,1,0))</f>
        <v/>
      </c>
      <c r="K951" s="7">
        <f>A951&amp;"|"&amp;B951</f>
        <v/>
      </c>
      <c r="L951" s="13" t="inlineStr">
        <is>
          <t>El SGSI ha solicitado reiteradamente su traslado debido a filtraciones de agua en la oficina del Bloque D–201, que han causado daños en equipos de información. Sin embargo, no se ha realizado el traslado. Se recomienda escalar la situación a las áreas competentes, ya que el SGSI no puede decidir su reubicación. Se recomienda a la Direccion de Planeacion Institucional tomar accion.</t>
        </is>
      </c>
    </row>
    <row r="952">
      <c r="A952" s="7" t="inlineStr">
        <is>
          <t>sgsi-2024-6</t>
        </is>
      </c>
      <c r="B952" s="7" t="n">
        <v>5</v>
      </c>
      <c r="C952" s="7" t="inlineStr">
        <is>
          <t>SGSI</t>
        </is>
      </c>
      <c r="D952" s="7" t="inlineStr">
        <is>
          <t>2024</t>
        </is>
      </c>
      <c r="E952" s="7" t="n">
        <v>6</v>
      </c>
      <c r="F952" s="8" t="n">
        <v>46142</v>
      </c>
      <c r="G952" s="7" t="inlineStr">
        <is>
          <t>JOAN IMAYINNE GALVIS MORENO</t>
        </is>
      </c>
      <c r="H952" s="14" t="n">
        <v>1</v>
      </c>
      <c r="I952" s="15">
        <f>IF(H952="","",H952/2)</f>
        <v/>
      </c>
      <c r="J952" s="7">
        <f>IF(H952="",0,IF(SUMPRODUCT((Seguimientos!$A$2:$A$1013=A952)*(Seguimientos!$F$2:$F$1013=F952)*(Seguimientos!$B$2:$B$1013&gt;B952)*(Seguimientos!$H$2:$H$1013&lt;&gt;""))=0,1,0))</f>
        <v/>
      </c>
      <c r="K952" s="7">
        <f>A952&amp;"|"&amp;B952</f>
        <v/>
      </c>
      <c r="L952" s="13" t="inlineStr">
        <is>
          <t>El SGSI ha solicitado reiteradamente su traslado debido a filtraciones de agua en la oficina del Bloque D–201, que han causado daños en equipos de información. Sin embargo, no se ha realizado el traslado. Se recomienda escalar la situación a las áreas competentes, ya que el SGSI no puede decidir su reubicación. Se recomienda a la Direccion de Planeacion Institucional tomar accion.</t>
        </is>
      </c>
    </row>
    <row r="953">
      <c r="A953" s="7" t="inlineStr">
        <is>
          <t>sgsi-2024-6</t>
        </is>
      </c>
      <c r="B953" s="7" t="n">
        <v>6</v>
      </c>
      <c r="C953" s="7" t="inlineStr">
        <is>
          <t>SGSI</t>
        </is>
      </c>
      <c r="D953" s="7" t="inlineStr">
        <is>
          <t>2024</t>
        </is>
      </c>
      <c r="E953" s="7" t="n">
        <v>6</v>
      </c>
      <c r="F953" s="8" t="n">
        <v>46203</v>
      </c>
      <c r="G953" s="7" t="inlineStr">
        <is>
          <t>JOAN IMAYINNE GALVIS MORENO</t>
        </is>
      </c>
      <c r="H953" s="14" t="n">
        <v>1</v>
      </c>
      <c r="I953" s="15">
        <f>IF(H953="","",H953/2)</f>
        <v/>
      </c>
      <c r="J953" s="7">
        <f>IF(H953="",0,IF(SUMPRODUCT((Seguimientos!$A$2:$A$1013=A953)*(Seguimientos!$F$2:$F$1013=F953)*(Seguimientos!$B$2:$B$1013&gt;B953)*(Seguimientos!$H$2:$H$1013&lt;&gt;""))=0,1,0))</f>
        <v/>
      </c>
      <c r="K953" s="7">
        <f>A953&amp;"|"&amp;B953</f>
        <v/>
      </c>
      <c r="L953" s="13" t="inlineStr">
        <is>
          <t>El SGSI ha solicitado reiteradamente su traslado debido a filtraciones de agua en la oficina del Bloque D–201, que han causado daños en equipos de información. Sin embargo, no se ha realizado el traslado. Se recomienda escalar la situación a las áreas competentes, ya que el SGSI no puede decidir su reubicación. Se recomienda a la Direccion de Planeacion Institucional tomar accion.</t>
        </is>
      </c>
    </row>
    <row r="954">
      <c r="A954" s="7" t="inlineStr">
        <is>
          <t>sgsi-2024-7</t>
        </is>
      </c>
      <c r="B954" s="7" t="n">
        <v>1</v>
      </c>
      <c r="C954" s="7" t="inlineStr">
        <is>
          <t>SGSI</t>
        </is>
      </c>
      <c r="D954" s="7" t="inlineStr">
        <is>
          <t>2024</t>
        </is>
      </c>
      <c r="E954" s="7" t="n">
        <v>7</v>
      </c>
      <c r="F954" s="8" t="n">
        <v>45777</v>
      </c>
      <c r="G954" s="7" t="inlineStr">
        <is>
          <t>DANIEL EDUARDO SOTO BERNAL</t>
        </is>
      </c>
      <c r="H954" s="14" t="n">
        <v>0</v>
      </c>
      <c r="I954" s="15">
        <f>IF(H954="","",H954/2)</f>
        <v/>
      </c>
      <c r="J954" s="7">
        <f>IF(H954="",0,IF(SUMPRODUCT((Seguimientos!$A$2:$A$1013=A954)*(Seguimientos!$F$2:$F$1013=F954)*(Seguimientos!$B$2:$B$1013&gt;B954)*(Seguimientos!$H$2:$H$1013&lt;&gt;""))=0,1,0))</f>
        <v/>
      </c>
      <c r="K954" s="7">
        <f>A954&amp;"|"&amp;B954</f>
        <v/>
      </c>
      <c r="L954" s="13" t="inlineStr">
        <is>
          <t>La Oportunidad de Mejora deberá ser atendida por las áreas involucradas.</t>
        </is>
      </c>
    </row>
    <row r="955">
      <c r="A955" s="7" t="inlineStr">
        <is>
          <t>sgsi-2024-7</t>
        </is>
      </c>
      <c r="B955" s="7" t="n">
        <v>2</v>
      </c>
      <c r="C955" s="7" t="inlineStr">
        <is>
          <t>SGSI</t>
        </is>
      </c>
      <c r="D955" s="7" t="inlineStr">
        <is>
          <t>2024</t>
        </is>
      </c>
      <c r="E955" s="7" t="n">
        <v>7</v>
      </c>
      <c r="F955" s="8" t="n">
        <v>45838</v>
      </c>
      <c r="G955" s="7" t="inlineStr">
        <is>
          <t>DANIEL EDUARDO SOTO BERNAL</t>
        </is>
      </c>
      <c r="H955" s="14" t="n">
        <v>2</v>
      </c>
      <c r="I955" s="15">
        <f>IF(H955="","",H955/2)</f>
        <v/>
      </c>
      <c r="J955" s="7">
        <f>IF(H955="",0,IF(SUMPRODUCT((Seguimientos!$A$2:$A$1013=A955)*(Seguimientos!$F$2:$F$1013=F955)*(Seguimientos!$B$2:$B$1013&gt;B955)*(Seguimientos!$H$2:$H$1013&lt;&gt;""))=0,1,0))</f>
        <v/>
      </c>
      <c r="K955" s="7">
        <f>A955&amp;"|"&amp;B955</f>
        <v/>
      </c>
      <c r="L955" s="13" t="inlineStr">
        <is>
          <t>La Vicerrectoría Académica, Dirección de Planeación Institucional y Oficina de Contabilidad realizaron la entrega formal de las credenciales de acceso de los sistemas de información por medio de acta a los funcionarios del área. Por medio del rol de vigías de seguridad de la información se verificó que las actas de entrega de credenciales de acceso de los sistemas de información están de acuerdo con los lineamientos de Seguridad de la Información.</t>
        </is>
      </c>
    </row>
    <row r="956">
      <c r="A956" s="7" t="inlineStr">
        <is>
          <t>sgsi-2024-7</t>
        </is>
      </c>
      <c r="B956" s="7" t="n">
        <v>3</v>
      </c>
      <c r="C956" s="7" t="inlineStr">
        <is>
          <t>SGSI</t>
        </is>
      </c>
      <c r="D956" s="7" t="inlineStr">
        <is>
          <t>2024</t>
        </is>
      </c>
      <c r="E956" s="7" t="n">
        <v>7</v>
      </c>
      <c r="F956" s="8" t="n">
        <v>45930</v>
      </c>
      <c r="G956" s="7" t="inlineStr">
        <is>
          <t>JOAN IMAYINNE GALVIS MORENO</t>
        </is>
      </c>
      <c r="H956" s="14" t="n">
        <v>2</v>
      </c>
      <c r="I956" s="15">
        <f>IF(H956="","",H956/2)</f>
        <v/>
      </c>
      <c r="J956" s="7">
        <f>IF(H956="",0,IF(SUMPRODUCT((Seguimientos!$A$2:$A$1013=A956)*(Seguimientos!$F$2:$F$1013=F956)*(Seguimientos!$B$2:$B$1013&gt;B956)*(Seguimientos!$H$2:$H$1013&lt;&gt;""))=0,1,0))</f>
        <v/>
      </c>
      <c r="K956" s="7">
        <f>A956&amp;"|"&amp;B956</f>
        <v/>
      </c>
      <c r="L956" s="13" t="inlineStr">
        <is>
          <t>ACTIVIDAD COMPLETADA</t>
        </is>
      </c>
    </row>
    <row r="957">
      <c r="A957" s="7" t="inlineStr">
        <is>
          <t>sgsi-2024-7</t>
        </is>
      </c>
      <c r="B957" s="7" t="n">
        <v>4</v>
      </c>
      <c r="C957" s="7" t="inlineStr">
        <is>
          <t>SGSI</t>
        </is>
      </c>
      <c r="D957" s="7" t="inlineStr">
        <is>
          <t>2024</t>
        </is>
      </c>
      <c r="E957" s="7" t="n">
        <v>7</v>
      </c>
      <c r="F957" s="8" t="n">
        <v>46021</v>
      </c>
      <c r="G957" s="7" t="inlineStr">
        <is>
          <t>JOAN IMAYINNE GALVIS MORENO</t>
        </is>
      </c>
      <c r="H957" s="14" t="n">
        <v>2</v>
      </c>
      <c r="I957" s="15">
        <f>IF(H957="","",H957/2)</f>
        <v/>
      </c>
      <c r="J957" s="7">
        <f>IF(H957="",0,IF(SUMPRODUCT((Seguimientos!$A$2:$A$1013=A957)*(Seguimientos!$F$2:$F$1013=F957)*(Seguimientos!$B$2:$B$1013&gt;B957)*(Seguimientos!$H$2:$H$1013&lt;&gt;""))=0,1,0))</f>
        <v/>
      </c>
      <c r="K957" s="7">
        <f>A957&amp;"|"&amp;B957</f>
        <v/>
      </c>
      <c r="L957" s="13" t="inlineStr">
        <is>
          <t>ACTIVIDAD COMPLETADA</t>
        </is>
      </c>
    </row>
    <row r="958">
      <c r="A958" s="7" t="inlineStr">
        <is>
          <t>sgsi-2024-7</t>
        </is>
      </c>
      <c r="B958" s="7" t="n">
        <v>5</v>
      </c>
      <c r="C958" s="7" t="inlineStr">
        <is>
          <t>SGSI</t>
        </is>
      </c>
      <c r="D958" s="7" t="inlineStr">
        <is>
          <t>2024</t>
        </is>
      </c>
      <c r="E958" s="7" t="n">
        <v>7</v>
      </c>
      <c r="F958" s="8" t="n">
        <v>46142</v>
      </c>
      <c r="G958" s="7" t="inlineStr">
        <is>
          <t>JOAN IMAYINNE GALVIS MORENO</t>
        </is>
      </c>
      <c r="H958" s="14" t="n">
        <v>2</v>
      </c>
      <c r="I958" s="15">
        <f>IF(H958="","",H958/2)</f>
        <v/>
      </c>
      <c r="J958" s="7">
        <f>IF(H958="",0,IF(SUMPRODUCT((Seguimientos!$A$2:$A$1013=A958)*(Seguimientos!$F$2:$F$1013=F958)*(Seguimientos!$B$2:$B$1013&gt;B958)*(Seguimientos!$H$2:$H$1013&lt;&gt;""))=0,1,0))</f>
        <v/>
      </c>
      <c r="K958" s="7">
        <f>A958&amp;"|"&amp;B958</f>
        <v/>
      </c>
      <c r="L958" s="13" t="inlineStr">
        <is>
          <t>ACTIVIDAD COMPLETADA</t>
        </is>
      </c>
    </row>
    <row r="959">
      <c r="A959" s="7" t="inlineStr">
        <is>
          <t>sgsi-2024-7</t>
        </is>
      </c>
      <c r="B959" s="7" t="n">
        <v>6</v>
      </c>
      <c r="C959" s="7" t="inlineStr">
        <is>
          <t>SGSI</t>
        </is>
      </c>
      <c r="D959" s="7" t="inlineStr">
        <is>
          <t>2024</t>
        </is>
      </c>
      <c r="E959" s="7" t="n">
        <v>7</v>
      </c>
      <c r="F959" s="8" t="n">
        <v>46203</v>
      </c>
      <c r="G959" s="7" t="inlineStr">
        <is>
          <t>JOAN IMAYINNE GALVIS MORENO</t>
        </is>
      </c>
      <c r="H959" s="14" t="n">
        <v>2</v>
      </c>
      <c r="I959" s="15">
        <f>IF(H959="","",H959/2)</f>
        <v/>
      </c>
      <c r="J959" s="7">
        <f>IF(H959="",0,IF(SUMPRODUCT((Seguimientos!$A$2:$A$1013=A959)*(Seguimientos!$F$2:$F$1013=F959)*(Seguimientos!$B$2:$B$1013&gt;B959)*(Seguimientos!$H$2:$H$1013&lt;&gt;""))=0,1,0))</f>
        <v/>
      </c>
      <c r="K959" s="7">
        <f>A959&amp;"|"&amp;B959</f>
        <v/>
      </c>
      <c r="L959" s="13" t="inlineStr">
        <is>
          <t>ACTIVIDAD COMPLETADA</t>
        </is>
      </c>
    </row>
    <row r="960">
      <c r="A960" s="7" t="inlineStr">
        <is>
          <t>sgsi-2025-1</t>
        </is>
      </c>
      <c r="B960" s="7" t="n">
        <v>1</v>
      </c>
      <c r="C960" s="7" t="inlineStr">
        <is>
          <t>SGSI</t>
        </is>
      </c>
      <c r="D960" s="7" t="inlineStr">
        <is>
          <t>2025</t>
        </is>
      </c>
      <c r="E960" s="7" t="n">
        <v>1</v>
      </c>
      <c r="F960" s="8" t="n">
        <v>46142</v>
      </c>
      <c r="G960" s="7" t="inlineStr">
        <is>
          <t>JOAN IMAYINNE GALVIS MORENO</t>
        </is>
      </c>
      <c r="H960" s="14" t="n">
        <v>1</v>
      </c>
      <c r="I960" s="15">
        <f>IF(H960="","",H960/2)</f>
        <v/>
      </c>
      <c r="J960" s="7">
        <f>IF(H960="",0,IF(SUMPRODUCT((Seguimientos!$A$2:$A$1013=A960)*(Seguimientos!$F$2:$F$1013=F960)*(Seguimientos!$B$2:$B$1013&gt;B960)*(Seguimientos!$H$2:$H$1013&lt;&gt;""))=0,1,0))</f>
        <v/>
      </c>
      <c r="K960" s="7">
        <f>A960&amp;"|"&amp;B960</f>
        <v/>
      </c>
      <c r="L960" s="13" t="inlineStr">
        <is>
          <t>El Sistema de Gestión de Seguridad de la Información (SGSI) adelantó la contratación de la Orden de Prestación de Servicios F-OPS No. 085 de 2026, cuyo objeto es la implementación del frente de Continuidad del Negocio en articulación con la norma ISO 27001:2022. Asimismo, se evidenció la formulación de un cronograma compuesto por cuarenta y cuatro (44) actividades programadas para la vigencia 2026, orientadas al desarrollo e implementación de este componente.</t>
        </is>
      </c>
    </row>
    <row r="961">
      <c r="A961" s="7" t="inlineStr">
        <is>
          <t>sgsi-2025-1</t>
        </is>
      </c>
      <c r="B961" s="7" t="n">
        <v>2</v>
      </c>
      <c r="C961" s="7" t="inlineStr">
        <is>
          <t>SGSI</t>
        </is>
      </c>
      <c r="D961" s="7" t="inlineStr">
        <is>
          <t>2025</t>
        </is>
      </c>
      <c r="E961" s="7" t="n">
        <v>1</v>
      </c>
      <c r="F961" s="8" t="n">
        <v>46203</v>
      </c>
      <c r="G961" s="7" t="inlineStr">
        <is>
          <t>JOAN IMAYINNE GALVIS MORENO</t>
        </is>
      </c>
      <c r="H961" s="14" t="n">
        <v>1</v>
      </c>
      <c r="I961" s="15">
        <f>IF(H961="","",H961/2)</f>
        <v/>
      </c>
      <c r="J961" s="7">
        <f>IF(H961="",0,IF(SUMPRODUCT((Seguimientos!$A$2:$A$1013=A961)*(Seguimientos!$F$2:$F$1013=F961)*(Seguimientos!$B$2:$B$1013&gt;B961)*(Seguimientos!$H$2:$H$1013&lt;&gt;""))=0,1,0))</f>
        <v/>
      </c>
      <c r="K961" s="7">
        <f>A961&amp;"|"&amp;B961</f>
        <v/>
      </c>
      <c r="L961" s="13" t="inlineStr">
        <is>
          <t>El Sistema de Gestión de Seguridad de la Información (SGSI) adelantó la contratación de la Orden de Prestación de Servicios F-OPS No. 085 de 2026, cuyo objeto es la implementación del frente de Continuidad del Negocio en articulación con la norma ISO 27001:2022. Asimismo, se evidenció la formulación de un cronograma compuesto por cuarenta y cuatro (44) actividades programadas para la vigencia 2026, orientadas al desarrollo e implementación de este componente.</t>
        </is>
      </c>
    </row>
    <row r="962">
      <c r="A962" s="7" t="inlineStr">
        <is>
          <t>sgsi-2025-1</t>
        </is>
      </c>
      <c r="B962" s="7" t="n">
        <v>3</v>
      </c>
      <c r="C962" s="7" t="inlineStr">
        <is>
          <t>SGSI</t>
        </is>
      </c>
      <c r="D962" s="7" t="inlineStr">
        <is>
          <t>2025</t>
        </is>
      </c>
      <c r="E962" s="7" t="n">
        <v>1</v>
      </c>
      <c r="F962" s="8" t="n">
        <v>46295</v>
      </c>
      <c r="G962" s="7" t="inlineStr">
        <is>
          <t>JOAN IMAYINNE GALVIS MORENO</t>
        </is>
      </c>
      <c r="H962" s="14" t="n">
        <v>1</v>
      </c>
      <c r="I962" s="15">
        <f>IF(H962="","",H962/2)</f>
        <v/>
      </c>
      <c r="J962" s="7">
        <f>IF(H962="",0,IF(SUMPRODUCT((Seguimientos!$A$2:$A$1013=A962)*(Seguimientos!$F$2:$F$1013=F962)*(Seguimientos!$B$2:$B$1013&gt;B962)*(Seguimientos!$H$2:$H$1013&lt;&gt;""))=0,1,0))</f>
        <v/>
      </c>
      <c r="K962" s="7">
        <f>A962&amp;"|"&amp;B962</f>
        <v/>
      </c>
      <c r="L962" s="13" t="inlineStr">
        <is>
          <t>El Sistema de Gestión de Seguridad de la Información (SGSI) adelantó la contratación de la Orden de Prestación de Servicios F-OPS No. 085 de 2026, cuyo objeto es la implementación del frente de Continuidad del Negocio en articulación con la norma ISO 27001:2022. Asimismo, se evidenció la formulación de un cronograma compuesto por cuarenta y cuatro (44) actividades programadas para la vigencia 2026, orientadas al desarrollo e implementación de este componente.</t>
        </is>
      </c>
    </row>
    <row r="963">
      <c r="A963" s="7" t="inlineStr">
        <is>
          <t>sgsi-2025-2</t>
        </is>
      </c>
      <c r="B963" s="7" t="n">
        <v>1</v>
      </c>
      <c r="C963" s="7" t="inlineStr">
        <is>
          <t>SGSI</t>
        </is>
      </c>
      <c r="D963" s="7" t="inlineStr">
        <is>
          <t>2025</t>
        </is>
      </c>
      <c r="E963" s="7" t="n">
        <v>2</v>
      </c>
      <c r="F963" s="8" t="n">
        <v>46142</v>
      </c>
      <c r="G963" s="7" t="inlineStr">
        <is>
          <t>JOAN IMAYINNE GALVIS MORENO</t>
        </is>
      </c>
      <c r="H963" s="14" t="n">
        <v>1</v>
      </c>
      <c r="I963" s="15">
        <f>IF(H963="","",H963/2)</f>
        <v/>
      </c>
      <c r="J963" s="7">
        <f>IF(H963="",0,IF(SUMPRODUCT((Seguimientos!$A$2:$A$1013=A963)*(Seguimientos!$F$2:$F$1013=F963)*(Seguimientos!$B$2:$B$1013&gt;B963)*(Seguimientos!$H$2:$H$1013&lt;&gt;""))=0,1,0))</f>
        <v/>
      </c>
      <c r="K963" s="7">
        <f>A963&amp;"|"&amp;B963</f>
        <v/>
      </c>
      <c r="L963" s="13" t="inlineStr">
        <is>
          <t>Se realiza informe del estado de avance de los planes de mejoramiento donde se evidencia los siguienes resultados: Planes de mejoramiento Creados: 69 Planes de mejoramiento Agregados: 15 Planes de mejoramiento En ejecucion: 25 Planes de mejoramiento Cerrados: 44</t>
        </is>
      </c>
    </row>
    <row r="964">
      <c r="A964" s="7" t="inlineStr">
        <is>
          <t>sgsi-2025-2</t>
        </is>
      </c>
      <c r="B964" s="7" t="n">
        <v>2</v>
      </c>
      <c r="C964" s="7" t="inlineStr">
        <is>
          <t>SGSI</t>
        </is>
      </c>
      <c r="D964" s="7" t="inlineStr">
        <is>
          <t>2025</t>
        </is>
      </c>
      <c r="E964" s="7" t="n">
        <v>2</v>
      </c>
      <c r="F964" s="8" t="n">
        <v>46203</v>
      </c>
      <c r="G964" s="7" t="inlineStr">
        <is>
          <t>JOAN IMAYINNE GALVIS MORENO</t>
        </is>
      </c>
      <c r="H964" s="14" t="n">
        <v>1.5</v>
      </c>
      <c r="I964" s="15">
        <f>IF(H964="","",H964/2)</f>
        <v/>
      </c>
      <c r="J964" s="7">
        <f>IF(H964="",0,IF(SUMPRODUCT((Seguimientos!$A$2:$A$1013=A964)*(Seguimientos!$F$2:$F$1013=F964)*(Seguimientos!$B$2:$B$1013&gt;B964)*(Seguimientos!$H$2:$H$1013&lt;&gt;""))=0,1,0))</f>
        <v/>
      </c>
      <c r="K964" s="7">
        <f>A964&amp;"|"&amp;B964</f>
        <v/>
      </c>
      <c r="L964" s="13" t="inlineStr">
        <is>
          <t>Se realiza informe del estado de avance de los planes de mejoramiento donde se evidencia los siguienes resultados: Planes de mejoramiento Creados: 69 Planes de mejoramiento Cerrados: 67</t>
        </is>
      </c>
    </row>
    <row r="965">
      <c r="A965" s="7" t="inlineStr">
        <is>
          <t>sgsi-2025-2</t>
        </is>
      </c>
      <c r="B965" s="7" t="n">
        <v>3</v>
      </c>
      <c r="C965" s="7" t="inlineStr">
        <is>
          <t>SGSI</t>
        </is>
      </c>
      <c r="D965" s="7" t="inlineStr">
        <is>
          <t>2025</t>
        </is>
      </c>
      <c r="E965" s="7" t="n">
        <v>2</v>
      </c>
      <c r="F965" s="8" t="n">
        <v>46295</v>
      </c>
      <c r="G965" s="7" t="inlineStr">
        <is>
          <t>JOAN IMAYINNE GALVIS MORENO</t>
        </is>
      </c>
      <c r="H965" s="14" t="n">
        <v>2</v>
      </c>
      <c r="I965" s="15">
        <f>IF(H965="","",H965/2)</f>
        <v/>
      </c>
      <c r="J965" s="7">
        <f>IF(H965="",0,IF(SUMPRODUCT((Seguimientos!$A$2:$A$1013=A965)*(Seguimientos!$F$2:$F$1013=F965)*(Seguimientos!$B$2:$B$1013&gt;B965)*(Seguimientos!$H$2:$H$1013&lt;&gt;""))=0,1,0))</f>
        <v/>
      </c>
      <c r="K965" s="7">
        <f>A965&amp;"|"&amp;B965</f>
        <v/>
      </c>
      <c r="L965" s="13" t="inlineStr">
        <is>
          <t>El SGSI, en articulación con las diferentes áreas y procesos de la institución, realizó seguimiento al cumplimiento de los planes de mejoramiento, verificando el avance de las acciones correctivas, los compromisos establecidos y la efectividad de las medidas implementadas. Con corte al 28 de septiembre de 2026, se logró el cumplimiento del 100 % de los planes de mejoramiento, evidenciando la ejecución total de las acciones establecidas para atender los hallazgos identificados.</t>
        </is>
      </c>
    </row>
    <row r="966">
      <c r="A966" s="7" t="inlineStr">
        <is>
          <t>sgsi-2025-3</t>
        </is>
      </c>
      <c r="B966" s="7" t="n">
        <v>1</v>
      </c>
      <c r="C966" s="7" t="inlineStr">
        <is>
          <t>SGSI</t>
        </is>
      </c>
      <c r="D966" s="7" t="inlineStr">
        <is>
          <t>2025</t>
        </is>
      </c>
      <c r="E966" s="7" t="n">
        <v>3</v>
      </c>
      <c r="F966" s="8" t="n">
        <v>46142</v>
      </c>
      <c r="G966" s="7" t="inlineStr">
        <is>
          <t>JOAN IMAYINNE GALVIS MORENO</t>
        </is>
      </c>
      <c r="H966" s="14" t="n">
        <v>1</v>
      </c>
      <c r="I966" s="15">
        <f>IF(H966="","",H966/2)</f>
        <v/>
      </c>
      <c r="J966" s="7">
        <f>IF(H966="",0,IF(SUMPRODUCT((Seguimientos!$A$2:$A$1013=A966)*(Seguimientos!$F$2:$F$1013=F966)*(Seguimientos!$B$2:$B$1013&gt;B966)*(Seguimientos!$H$2:$H$1013&lt;&gt;""))=0,1,0))</f>
        <v/>
      </c>
      <c r="K966" s="7">
        <f>A966&amp;"|"&amp;B966</f>
        <v/>
      </c>
      <c r="L966" s="13" t="inlineStr">
        <is>
          <t>Como resultado de las acciones de mejora implementadas frente a las inconsistencias identificadas en la publicación de información en la plataforma de Datos Abiertos de Colombia, se realizaron las validaciones correspondientes, identificando la adopción de una nueva estructura para la publicación de los conjuntos de datos institucionales. En este marco, el 13 de marzo de 2026 se efectuó la actualización y publicación del Registro de Activos de Información, el Índice de Información Clasificada y el Esquema de Publicación de la Información, garantizando su disponibilidad en la plataforma oficial de Datos Abiertos de Colombia y dando cumplimiento a los lineamientos vigentes en materia de transparencia y acceso a la información pública. Se recomienda demostrar que esta esta debidamente publicada en el Modelo de Operacion Digital y en el link de transparencia como lo estipula el entregable</t>
        </is>
      </c>
    </row>
    <row r="967">
      <c r="A967" s="7" t="inlineStr">
        <is>
          <t>sgsi-2025-3</t>
        </is>
      </c>
      <c r="B967" s="7" t="n">
        <v>2</v>
      </c>
      <c r="C967" s="7" t="inlineStr">
        <is>
          <t>SGSI</t>
        </is>
      </c>
      <c r="D967" s="7" t="inlineStr">
        <is>
          <t>2025</t>
        </is>
      </c>
      <c r="E967" s="7" t="n">
        <v>3</v>
      </c>
      <c r="F967" s="8" t="n">
        <v>46203</v>
      </c>
      <c r="G967" s="7" t="inlineStr">
        <is>
          <t>JOAN IMAYINNE GALVIS MORENO</t>
        </is>
      </c>
      <c r="H967" s="14" t="n">
        <v>2</v>
      </c>
      <c r="I967" s="15">
        <f>IF(H967="","",H967/2)</f>
        <v/>
      </c>
      <c r="J967" s="7">
        <f>IF(H967="",0,IF(SUMPRODUCT((Seguimientos!$A$2:$A$1013=A967)*(Seguimientos!$F$2:$F$1013=F967)*(Seguimientos!$B$2:$B$1013&gt;B967)*(Seguimientos!$H$2:$H$1013&lt;&gt;""))=0,1,0))</f>
        <v/>
      </c>
      <c r="K967" s="7">
        <f>A967&amp;"|"&amp;B967</f>
        <v/>
      </c>
      <c r="L967" s="13" t="inlineStr">
        <is>
          <t>Como resultado de las acciones de mejora implementadas frente a las inconsistencias identificadas en la publicación de información en la plataforma de Datos Abiertos de Colombia, se realizaron las validaciones correspondientes, identificando la adopción de una nueva estructura para la publicación de los conjuntos de datos institucionales. En este marco, el 13 de marzo de 2026 se efectuó la actualización y publicación del Registro de Activos de Información, el Índice de Información Clasificada y el Esquema de Publicación de la Información, garantizando su disponibilidad en la plataforma oficial de Datos Abiertos de Colombia y dando cumplimiento a los lineamientos vigentes en materia de transparencia y acceso a la información pública.</t>
        </is>
      </c>
    </row>
    <row r="968">
      <c r="A968" s="7" t="inlineStr">
        <is>
          <t>sgsi-2025-3</t>
        </is>
      </c>
      <c r="B968" s="7" t="n">
        <v>3</v>
      </c>
      <c r="C968" s="7" t="inlineStr">
        <is>
          <t>SGSI</t>
        </is>
      </c>
      <c r="D968" s="7" t="inlineStr">
        <is>
          <t>2025</t>
        </is>
      </c>
      <c r="E968" s="7" t="n">
        <v>3</v>
      </c>
      <c r="F968" s="8" t="n">
        <v>46295</v>
      </c>
      <c r="G968" s="7" t="inlineStr">
        <is>
          <t>JOAN IMAYINNE GALVIS MORENO</t>
        </is>
      </c>
      <c r="H968" s="14" t="n">
        <v>2</v>
      </c>
      <c r="I968" s="15">
        <f>IF(H968="","",H968/2)</f>
        <v/>
      </c>
      <c r="J968" s="7">
        <f>IF(H968="",0,IF(SUMPRODUCT((Seguimientos!$A$2:$A$1013=A968)*(Seguimientos!$F$2:$F$1013=F968)*(Seguimientos!$B$2:$B$1013&gt;B968)*(Seguimientos!$H$2:$H$1013&lt;&gt;""))=0,1,0))</f>
        <v/>
      </c>
      <c r="K968" s="7">
        <f>A968&amp;"|"&amp;B968</f>
        <v/>
      </c>
      <c r="L968" s="13" t="inlineStr">
        <is>
          <t>Como resultado de las acciones de mejora implementadas frente a las inconsistencias identificadas en la publicación de información en la plataforma de Datos Abiertos de Colombia, se realizaron las validaciones correspondientes, identificando la adopción de una nueva estructura para la publicación de los conjuntos de datos institucionales. En este marco, el 13 de marzo de 2026 se efectuó la actualización y publicación del Registro de Activos de Información, el Índice de Información Clasificada y el Esquema de Publicación de la Información, garantizando su disponibilidad en la plataforma oficial de Datos Abiertos de Colombia y dando cumplimiento a los lineamientos vigentes en materia de transparencia y acceso a la información pública.</t>
        </is>
      </c>
    </row>
    <row r="969">
      <c r="A969" s="7" t="inlineStr">
        <is>
          <t>sgsi-2025-4</t>
        </is>
      </c>
      <c r="B969" s="7" t="n">
        <v>1</v>
      </c>
      <c r="C969" s="7" t="inlineStr">
        <is>
          <t>SGSI</t>
        </is>
      </c>
      <c r="D969" s="7" t="inlineStr">
        <is>
          <t>2025</t>
        </is>
      </c>
      <c r="E969" s="7" t="n">
        <v>4</v>
      </c>
      <c r="F969" s="8" t="n">
        <v>46142</v>
      </c>
      <c r="G969" s="7" t="inlineStr">
        <is>
          <t>JOAN IMAYINNE GALVIS MORENO</t>
        </is>
      </c>
      <c r="H969" s="14" t="n">
        <v>0</v>
      </c>
      <c r="I969" s="15">
        <f>IF(H969="","",H969/2)</f>
        <v/>
      </c>
      <c r="J969" s="7">
        <f>IF(H969="",0,IF(SUMPRODUCT((Seguimientos!$A$2:$A$1013=A969)*(Seguimientos!$F$2:$F$1013=F969)*(Seguimientos!$B$2:$B$1013&gt;B969)*(Seguimientos!$H$2:$H$1013&lt;&gt;""))=0,1,0))</f>
        <v/>
      </c>
      <c r="K969" s="7">
        <f>A969&amp;"|"&amp;B969</f>
        <v/>
      </c>
      <c r="L969" s="13" t="inlineStr">
        <is>
          <t>No se cuenta con avance</t>
        </is>
      </c>
    </row>
    <row r="970">
      <c r="A970" s="7" t="inlineStr">
        <is>
          <t>sgsi-2025-4</t>
        </is>
      </c>
      <c r="B970" s="7" t="n">
        <v>2</v>
      </c>
      <c r="C970" s="7" t="inlineStr">
        <is>
          <t>SGSI</t>
        </is>
      </c>
      <c r="D970" s="7" t="inlineStr">
        <is>
          <t>2025</t>
        </is>
      </c>
      <c r="E970" s="7" t="n">
        <v>4</v>
      </c>
      <c r="F970" s="8" t="n">
        <v>46203</v>
      </c>
      <c r="G970" s="7" t="inlineStr">
        <is>
          <t>JOAN IMAYINNE GALVIS MORENO</t>
        </is>
      </c>
      <c r="H970" s="14" t="n">
        <v>1</v>
      </c>
      <c r="I970" s="15">
        <f>IF(H970="","",H970/2)</f>
        <v/>
      </c>
      <c r="J970" s="7">
        <f>IF(H970="",0,IF(SUMPRODUCT((Seguimientos!$A$2:$A$1013=A970)*(Seguimientos!$F$2:$F$1013=F970)*(Seguimientos!$B$2:$B$1013&gt;B970)*(Seguimientos!$H$2:$H$1013&lt;&gt;""))=0,1,0))</f>
        <v/>
      </c>
      <c r="K970" s="7">
        <f>A970&amp;"|"&amp;B970</f>
        <v/>
      </c>
      <c r="L970" s="13" t="inlineStr">
        <is>
          <t>Se esta en la consolidacion del trablero de Control por parte de la Direccion de Planeacion Institucional.</t>
        </is>
      </c>
    </row>
    <row r="971">
      <c r="A971" s="7" t="inlineStr">
        <is>
          <t>sgsi-2025-4</t>
        </is>
      </c>
      <c r="B971" s="7" t="n">
        <v>3</v>
      </c>
      <c r="C971" s="7" t="inlineStr">
        <is>
          <t>SGSI</t>
        </is>
      </c>
      <c r="D971" s="7" t="inlineStr">
        <is>
          <t>2025</t>
        </is>
      </c>
      <c r="E971" s="7" t="n">
        <v>4</v>
      </c>
      <c r="F971" s="8" t="n">
        <v>46295</v>
      </c>
      <c r="G971" s="7" t="inlineStr">
        <is>
          <t>JOAN IMAYINNE GALVIS MORENO</t>
        </is>
      </c>
      <c r="H971" s="14" t="n">
        <v>2</v>
      </c>
      <c r="I971" s="15">
        <f>IF(H971="","",H971/2)</f>
        <v/>
      </c>
      <c r="J971" s="7">
        <f>IF(H971="",0,IF(SUMPRODUCT((Seguimientos!$A$2:$A$1013=A971)*(Seguimientos!$F$2:$F$1013=F971)*(Seguimientos!$B$2:$B$1013&gt;B971)*(Seguimientos!$H$2:$H$1013&lt;&gt;""))=0,1,0))</f>
        <v/>
      </c>
      <c r="K971" s="7">
        <f>A971&amp;"|"&amp;B971</f>
        <v/>
      </c>
      <c r="L971" s="13" t="inlineStr">
        <is>
          <t>Se desarrolló un tablero de seguimiento en Power BI que permite consolidar y visualizar la información relacionada con la Revisión por la Dirección desde la vigencia 2023 hasta la actualidad. Esta herramienta facilita la consulta y análisis de los avances registrados durante las diferentes vigencias, permitiendo contar con información organizada, actualizada y de fácil interpretación. Asimismo, el tablero permite fortalecer el seguimiento al cumplimiento de los compromisos y acciones derivadas de la Revisión por la Dirección, facilitando la identificación de avances, resultados e impactos asociados a los diferentes Sistemas de Gestión. De esta manera, se constituye en una herramienta para apoyar la toma de decisiones y promover el mejoramiento continuo de la gestión institucional.</t>
        </is>
      </c>
    </row>
    <row r="972">
      <c r="A972" s="7" t="inlineStr">
        <is>
          <t>sgas-2024-1</t>
        </is>
      </c>
      <c r="B972" s="7" t="n">
        <v>1</v>
      </c>
      <c r="C972" s="7" t="inlineStr">
        <is>
          <t>SGAS</t>
        </is>
      </c>
      <c r="D972" s="7" t="inlineStr">
        <is>
          <t>2024</t>
        </is>
      </c>
      <c r="E972" s="7" t="n">
        <v>1</v>
      </c>
      <c r="F972" s="8" t="n">
        <v>45777</v>
      </c>
      <c r="G972" s="7" t="inlineStr">
        <is>
          <t>DANIEL EDUARDO SOTO BERNAL</t>
        </is>
      </c>
      <c r="H972" s="14" t="n">
        <v>0</v>
      </c>
      <c r="I972" s="15">
        <f>IF(H972="","",H972/2)</f>
        <v/>
      </c>
      <c r="J972" s="7">
        <f>IF(H972="",0,IF(SUMPRODUCT((Seguimientos!$A$2:$A$1013=A972)*(Seguimientos!$F$2:$F$1013=F972)*(Seguimientos!$B$2:$B$1013&gt;B972)*(Seguimientos!$H$2:$H$1013&lt;&gt;""))=0,1,0))</f>
        <v/>
      </c>
      <c r="K972" s="7">
        <f>A972&amp;"|"&amp;B972</f>
        <v/>
      </c>
      <c r="L972" s="13" t="inlineStr">
        <is>
          <t>EN TÉRMINOS DE EJECUCIÓN</t>
        </is>
      </c>
    </row>
    <row r="973">
      <c r="A973" s="7" t="inlineStr">
        <is>
          <t>sgas-2024-1</t>
        </is>
      </c>
      <c r="B973" s="7" t="n">
        <v>2</v>
      </c>
      <c r="C973" s="7" t="inlineStr">
        <is>
          <t>SGAS</t>
        </is>
      </c>
      <c r="D973" s="7" t="inlineStr">
        <is>
          <t>2024</t>
        </is>
      </c>
      <c r="E973" s="7" t="n">
        <v>1</v>
      </c>
      <c r="F973" s="8" t="n">
        <v>45838</v>
      </c>
      <c r="G973" s="7" t="inlineStr">
        <is>
          <t>DANIEL EDUARDO SOTO BERNAL</t>
        </is>
      </c>
      <c r="H973" s="14" t="n">
        <v>1</v>
      </c>
      <c r="I973" s="15">
        <f>IF(H973="","",H973/2)</f>
        <v/>
      </c>
      <c r="J973" s="7">
        <f>IF(H973="",0,IF(SUMPRODUCT((Seguimientos!$A$2:$A$1013=A973)*(Seguimientos!$F$2:$F$1013=F973)*(Seguimientos!$B$2:$B$1013&gt;B973)*(Seguimientos!$H$2:$H$1013&lt;&gt;""))=0,1,0))</f>
        <v/>
      </c>
      <c r="K973" s="7">
        <f>A973&amp;"|"&amp;B973</f>
        <v/>
      </c>
      <c r="L973" s="13" t="inlineStr">
        <is>
          <t>La Dirección de Planeación Institucional con el apoyo del Sistema de Gestión Antisoborno, realiza la actualización e integración de los riesgos de soborno y corrupción bajo el formato Matriz Gestión del Riesgo y las Oportunidades - ESGF028, de igual manera se realiza la actualización de las cuestiones internas y externas que afectan que podrían afectar la gestión de riegos de cada proceso de la entidad.</t>
        </is>
      </c>
    </row>
    <row r="974">
      <c r="A974" s="7" t="inlineStr">
        <is>
          <t>sgas-2024-1</t>
        </is>
      </c>
      <c r="B974" s="7" t="n">
        <v>3</v>
      </c>
      <c r="C974" s="7" t="inlineStr">
        <is>
          <t>SGAS</t>
        </is>
      </c>
      <c r="D974" s="7" t="inlineStr">
        <is>
          <t>2024</t>
        </is>
      </c>
      <c r="E974" s="7" t="n">
        <v>1</v>
      </c>
      <c r="F974" s="8" t="n">
        <v>45930</v>
      </c>
      <c r="G974" s="7" t="inlineStr">
        <is>
          <t>JOAN IMAYINNE GALVIS MORENO</t>
        </is>
      </c>
      <c r="H974" s="14" t="n">
        <v>2</v>
      </c>
      <c r="I974" s="15">
        <f>IF(H974="","",H974/2)</f>
        <v/>
      </c>
      <c r="J974" s="7">
        <f>IF(H974="",0,IF(SUMPRODUCT((Seguimientos!$A$2:$A$1013=A974)*(Seguimientos!$F$2:$F$1013=F974)*(Seguimientos!$B$2:$B$1013&gt;B974)*(Seguimientos!$H$2:$H$1013&lt;&gt;""))=0,1,0))</f>
        <v/>
      </c>
      <c r="K974" s="7">
        <f>A974&amp;"|"&amp;B974</f>
        <v/>
      </c>
      <c r="L974" s="13" t="inlineStr">
        <is>
          <t>Se actualizan e integran los riesgos de soborno y corrupción en la Matriz de Gestión del Riesgo y las Oportunidades (ESGF028), junto con las cuestiones internas y externas que podrían afectar la gestión de riesgos de cada proceso. La entrega formal se realizó los días 25 y 26 de agosto de 2025. Impacto: Fortalecimiento de la gestión de riesgos de soborno y su articulación con la metodología institucional de riesgos. Evidencia: Matrices de riesgos de soborno de los procesos y correos institucionales de remisión.</t>
        </is>
      </c>
    </row>
    <row r="975">
      <c r="A975" s="7" t="inlineStr">
        <is>
          <t>sgas-2024-1</t>
        </is>
      </c>
      <c r="B975" s="7" t="n">
        <v>4</v>
      </c>
      <c r="C975" s="7" t="inlineStr">
        <is>
          <t>SGAS</t>
        </is>
      </c>
      <c r="D975" s="7" t="inlineStr">
        <is>
          <t>2024</t>
        </is>
      </c>
      <c r="E975" s="7" t="n">
        <v>1</v>
      </c>
      <c r="F975" s="8" t="n">
        <v>46021</v>
      </c>
      <c r="G975" s="7" t="inlineStr">
        <is>
          <t>JOAN IMAYINNE GALVIS MORENO</t>
        </is>
      </c>
      <c r="H975" s="14" t="n">
        <v>2</v>
      </c>
      <c r="I975" s="15">
        <f>IF(H975="","",H975/2)</f>
        <v/>
      </c>
      <c r="J975" s="7">
        <f>IF(H975="",0,IF(SUMPRODUCT((Seguimientos!$A$2:$A$1013=A975)*(Seguimientos!$F$2:$F$1013=F975)*(Seguimientos!$B$2:$B$1013&gt;B975)*(Seguimientos!$H$2:$H$1013&lt;&gt;""))=0,1,0))</f>
        <v/>
      </c>
      <c r="K975" s="7">
        <f>A975&amp;"|"&amp;B975</f>
        <v/>
      </c>
      <c r="L975" s="13" t="inlineStr">
        <is>
          <t>ACTIVIDAD CUMPLIDA</t>
        </is>
      </c>
    </row>
    <row r="976">
      <c r="A976" s="7" t="inlineStr">
        <is>
          <t>sgas-2024-1</t>
        </is>
      </c>
      <c r="B976" s="7" t="n">
        <v>5</v>
      </c>
      <c r="C976" s="7" t="inlineStr">
        <is>
          <t>SGAS</t>
        </is>
      </c>
      <c r="D976" s="7" t="inlineStr">
        <is>
          <t>2024</t>
        </is>
      </c>
      <c r="E976" s="7" t="n">
        <v>1</v>
      </c>
      <c r="F976" s="8" t="n">
        <v>46203</v>
      </c>
      <c r="G976" s="7" t="inlineStr">
        <is>
          <t>JOAN IMAYINNE GALVIS MORENO</t>
        </is>
      </c>
      <c r="H976" s="14" t="n">
        <v>2</v>
      </c>
      <c r="I976" s="15">
        <f>IF(H976="","",H976/2)</f>
        <v/>
      </c>
      <c r="J976" s="7">
        <f>IF(H976="",0,IF(SUMPRODUCT((Seguimientos!$A$2:$A$1013=A976)*(Seguimientos!$F$2:$F$1013=F976)*(Seguimientos!$B$2:$B$1013&gt;B976)*(Seguimientos!$H$2:$H$1013&lt;&gt;""))=0,1,0))</f>
        <v/>
      </c>
      <c r="K976" s="7">
        <f>A976&amp;"|"&amp;B976</f>
        <v/>
      </c>
      <c r="L976" s="13" t="inlineStr">
        <is>
          <t>ACTIVIDAD CUMPLIDA</t>
        </is>
      </c>
    </row>
    <row r="977">
      <c r="A977" s="7" t="inlineStr">
        <is>
          <t>sgas-2024-2</t>
        </is>
      </c>
      <c r="B977" s="7" t="n">
        <v>1</v>
      </c>
      <c r="C977" s="7" t="inlineStr">
        <is>
          <t>SGAS</t>
        </is>
      </c>
      <c r="D977" s="7" t="inlineStr">
        <is>
          <t>2024</t>
        </is>
      </c>
      <c r="E977" s="7" t="n">
        <v>2</v>
      </c>
      <c r="F977" s="8" t="n">
        <v>45777</v>
      </c>
      <c r="G977" s="7" t="inlineStr">
        <is>
          <t>DANIEL EDUARDO SOTO BERNAL</t>
        </is>
      </c>
      <c r="H977" s="14" t="n">
        <v>0</v>
      </c>
      <c r="I977" s="15">
        <f>IF(H977="","",H977/2)</f>
        <v/>
      </c>
      <c r="J977" s="7">
        <f>IF(H977="",0,IF(SUMPRODUCT((Seguimientos!$A$2:$A$1013=A977)*(Seguimientos!$F$2:$F$1013=F977)*(Seguimientos!$B$2:$B$1013&gt;B977)*(Seguimientos!$H$2:$H$1013&lt;&gt;""))=0,1,0))</f>
        <v/>
      </c>
      <c r="K977" s="7">
        <f>A977&amp;"|"&amp;B977</f>
        <v/>
      </c>
      <c r="L977" s="13" t="inlineStr">
        <is>
          <t>EN TÉRMINOS DE EJECUCIÓN</t>
        </is>
      </c>
    </row>
    <row r="978">
      <c r="A978" s="7" t="inlineStr">
        <is>
          <t>sgas-2024-2</t>
        </is>
      </c>
      <c r="B978" s="7" t="n">
        <v>2</v>
      </c>
      <c r="C978" s="7" t="inlineStr">
        <is>
          <t>SGAS</t>
        </is>
      </c>
      <c r="D978" s="7" t="inlineStr">
        <is>
          <t>2024</t>
        </is>
      </c>
      <c r="E978" s="7" t="n">
        <v>2</v>
      </c>
      <c r="F978" s="8" t="n">
        <v>45838</v>
      </c>
      <c r="G978" s="7" t="inlineStr">
        <is>
          <t>DANIEL EDUARDO SOTO BERNAL</t>
        </is>
      </c>
      <c r="H978" s="14" t="n">
        <v>1</v>
      </c>
      <c r="I978" s="15">
        <f>IF(H978="","",H978/2)</f>
        <v/>
      </c>
      <c r="J978" s="7">
        <f>IF(H978="",0,IF(SUMPRODUCT((Seguimientos!$A$2:$A$1013=A978)*(Seguimientos!$F$2:$F$1013=F978)*(Seguimientos!$B$2:$B$1013&gt;B978)*(Seguimientos!$H$2:$H$1013&lt;&gt;""))=0,1,0))</f>
        <v/>
      </c>
      <c r="K978" s="7">
        <f>A978&amp;"|"&amp;B978</f>
        <v/>
      </c>
      <c r="L978" s="13" t="inlineStr">
        <is>
          <t>La Dirección de Planeación Institucional con el apoyo del Sistema de Gestión Antisoborno, realiza la actualización e integración de los riesgos de soborno y corrupción bajo el formato Matriz Gestión del Riesgo y las Oportunidades - ESGF028, actividad realizada con el apoyo de los lideres de las áreas y procesos establecidos en el Modelo de Operación Digital</t>
        </is>
      </c>
    </row>
    <row r="979">
      <c r="A979" s="7" t="inlineStr">
        <is>
          <t>sgas-2024-2</t>
        </is>
      </c>
      <c r="B979" s="7" t="n">
        <v>3</v>
      </c>
      <c r="C979" s="7" t="inlineStr">
        <is>
          <t>SGAS</t>
        </is>
      </c>
      <c r="D979" s="7" t="inlineStr">
        <is>
          <t>2024</t>
        </is>
      </c>
      <c r="E979" s="7" t="n">
        <v>2</v>
      </c>
      <c r="F979" s="8" t="n">
        <v>45930</v>
      </c>
      <c r="G979" s="7" t="inlineStr">
        <is>
          <t>JOAN IMAYINNE GALVIS MORENO</t>
        </is>
      </c>
      <c r="H979" s="14" t="n">
        <v>2</v>
      </c>
      <c r="I979" s="15">
        <f>IF(H979="","",H979/2)</f>
        <v/>
      </c>
      <c r="J979" s="7">
        <f>IF(H979="",0,IF(SUMPRODUCT((Seguimientos!$A$2:$A$1013=A979)*(Seguimientos!$F$2:$F$1013=F979)*(Seguimientos!$B$2:$B$1013&gt;B979)*(Seguimientos!$H$2:$H$1013&lt;&gt;""))=0,1,0))</f>
        <v/>
      </c>
      <c r="K979" s="7">
        <f>A979&amp;"|"&amp;B979</f>
        <v/>
      </c>
      <c r="L979" s="13" t="inlineStr">
        <is>
          <t>Se actualizan e integran los riesgos de soborno y corrupción en el formato Matriz de Gestión del Riesgo y las Oportunidades (ESGF028), junto con las cuestiones internas y externas que podrían afectar la gestión de riesgos de cada proceso. Asimismo, se realiza la identificación de todos los riesgos institucionales y la entrega formal a los procesos los días 25 y 26 de agosto de 2025. Impacto: Fortalecimiento de la gestión de riesgos de soborno y su articulación con la metodología institucional de riesgos. Evidencia: Matrices de riesgos de soborno de los procesos y correos institucionales de remisión..</t>
        </is>
      </c>
    </row>
    <row r="980">
      <c r="A980" s="7" t="inlineStr">
        <is>
          <t>sgas-2024-2</t>
        </is>
      </c>
      <c r="B980" s="7" t="n">
        <v>4</v>
      </c>
      <c r="C980" s="7" t="inlineStr">
        <is>
          <t>SGAS</t>
        </is>
      </c>
      <c r="D980" s="7" t="inlineStr">
        <is>
          <t>2024</t>
        </is>
      </c>
      <c r="E980" s="7" t="n">
        <v>2</v>
      </c>
      <c r="F980" s="8" t="n">
        <v>46021</v>
      </c>
      <c r="G980" s="7" t="inlineStr">
        <is>
          <t>JOAN IMAYINNE GALVIS MORENO</t>
        </is>
      </c>
      <c r="H980" s="14" t="n">
        <v>2</v>
      </c>
      <c r="I980" s="15">
        <f>IF(H980="","",H980/2)</f>
        <v/>
      </c>
      <c r="J980" s="7">
        <f>IF(H980="",0,IF(SUMPRODUCT((Seguimientos!$A$2:$A$1013=A980)*(Seguimientos!$F$2:$F$1013=F980)*(Seguimientos!$B$2:$B$1013&gt;B980)*(Seguimientos!$H$2:$H$1013&lt;&gt;""))=0,1,0))</f>
        <v/>
      </c>
      <c r="K980" s="7">
        <f>A980&amp;"|"&amp;B980</f>
        <v/>
      </c>
      <c r="L980" s="13" t="inlineStr">
        <is>
          <t>ACTIVIDAD CUMPLIDA</t>
        </is>
      </c>
    </row>
    <row r="981">
      <c r="A981" s="7" t="inlineStr">
        <is>
          <t>sgas-2024-2</t>
        </is>
      </c>
      <c r="B981" s="7" t="n">
        <v>5</v>
      </c>
      <c r="C981" s="7" t="inlineStr">
        <is>
          <t>SGAS</t>
        </is>
      </c>
      <c r="D981" s="7" t="inlineStr">
        <is>
          <t>2024</t>
        </is>
      </c>
      <c r="E981" s="7" t="n">
        <v>2</v>
      </c>
      <c r="F981" s="8" t="n">
        <v>46203</v>
      </c>
      <c r="G981" s="7" t="inlineStr">
        <is>
          <t>JOAN IMAYINNE GALVIS MORENO</t>
        </is>
      </c>
      <c r="H981" s="14" t="n">
        <v>2</v>
      </c>
      <c r="I981" s="15">
        <f>IF(H981="","",H981/2)</f>
        <v/>
      </c>
      <c r="J981" s="7">
        <f>IF(H981="",0,IF(SUMPRODUCT((Seguimientos!$A$2:$A$1013=A981)*(Seguimientos!$F$2:$F$1013=F981)*(Seguimientos!$B$2:$B$1013&gt;B981)*(Seguimientos!$H$2:$H$1013&lt;&gt;""))=0,1,0))</f>
        <v/>
      </c>
      <c r="K981" s="7">
        <f>A981&amp;"|"&amp;B981</f>
        <v/>
      </c>
      <c r="L981" s="13" t="inlineStr">
        <is>
          <t>ACTIVIDAD CUMPLIDA</t>
        </is>
      </c>
    </row>
    <row r="982">
      <c r="A982" s="7" t="inlineStr">
        <is>
          <t>sgas-2024-3</t>
        </is>
      </c>
      <c r="B982" s="7" t="n">
        <v>1</v>
      </c>
      <c r="C982" s="7" t="inlineStr">
        <is>
          <t>SGAS</t>
        </is>
      </c>
      <c r="D982" s="7" t="inlineStr">
        <is>
          <t>2024</t>
        </is>
      </c>
      <c r="E982" s="7" t="n">
        <v>3</v>
      </c>
      <c r="F982" s="8" t="n">
        <v>45777</v>
      </c>
      <c r="G982" s="7" t="inlineStr">
        <is>
          <t>DANIEL EDUARDO SOTO BERNAL</t>
        </is>
      </c>
      <c r="H982" s="14" t="n">
        <v>0</v>
      </c>
      <c r="I982" s="15">
        <f>IF(H982="","",H982/2)</f>
        <v/>
      </c>
      <c r="J982" s="7">
        <f>IF(H982="",0,IF(SUMPRODUCT((Seguimientos!$A$2:$A$1013=A982)*(Seguimientos!$F$2:$F$1013=F982)*(Seguimientos!$B$2:$B$1013&gt;B982)*(Seguimientos!$H$2:$H$1013&lt;&gt;""))=0,1,0))</f>
        <v/>
      </c>
      <c r="K982" s="7">
        <f>A982&amp;"|"&amp;B982</f>
        <v/>
      </c>
      <c r="L982" s="13" t="inlineStr">
        <is>
          <t>EN TÉRMINOS DE EJECUCIÓN</t>
        </is>
      </c>
    </row>
    <row r="983">
      <c r="A983" s="7" t="inlineStr">
        <is>
          <t>sgas-2024-3</t>
        </is>
      </c>
      <c r="B983" s="7" t="n">
        <v>2</v>
      </c>
      <c r="C983" s="7" t="inlineStr">
        <is>
          <t>SGAS</t>
        </is>
      </c>
      <c r="D983" s="7" t="inlineStr">
        <is>
          <t>2024</t>
        </is>
      </c>
      <c r="E983" s="7" t="n">
        <v>3</v>
      </c>
      <c r="F983" s="8" t="n">
        <v>45838</v>
      </c>
      <c r="G983" s="7" t="inlineStr">
        <is>
          <t>DANIEL EDUARDO SOTO BERNAL</t>
        </is>
      </c>
      <c r="H983" s="14" t="n">
        <v>0</v>
      </c>
      <c r="I983" s="15">
        <f>IF(H983="","",H983/2)</f>
        <v/>
      </c>
      <c r="J983" s="7">
        <f>IF(H983="",0,IF(SUMPRODUCT((Seguimientos!$A$2:$A$1013=A983)*(Seguimientos!$F$2:$F$1013=F983)*(Seguimientos!$B$2:$B$1013&gt;B983)*(Seguimientos!$H$2:$H$1013&lt;&gt;""))=0,1,0))</f>
        <v/>
      </c>
      <c r="K983" s="7">
        <f>A983&amp;"|"&amp;B983</f>
        <v/>
      </c>
      <c r="L983" s="13" t="inlineStr">
        <is>
          <t>EN TÉRMINOS DE EJECUCIÓN</t>
        </is>
      </c>
    </row>
    <row r="984">
      <c r="A984" s="7" t="inlineStr">
        <is>
          <t>sgas-2024-3</t>
        </is>
      </c>
      <c r="B984" s="7" t="n">
        <v>3</v>
      </c>
      <c r="C984" s="7" t="inlineStr">
        <is>
          <t>SGAS</t>
        </is>
      </c>
      <c r="D984" s="7" t="inlineStr">
        <is>
          <t>2024</t>
        </is>
      </c>
      <c r="E984" s="7" t="n">
        <v>3</v>
      </c>
      <c r="F984" s="8" t="n">
        <v>45930</v>
      </c>
      <c r="G984" s="7" t="inlineStr">
        <is>
          <t>JOAN IMAYINNE GALVIS MORENO</t>
        </is>
      </c>
      <c r="H984" s="14" t="n">
        <v>1.5</v>
      </c>
      <c r="I984" s="15">
        <f>IF(H984="","",H984/2)</f>
        <v/>
      </c>
      <c r="J984" s="7">
        <f>IF(H984="",0,IF(SUMPRODUCT((Seguimientos!$A$2:$A$1013=A984)*(Seguimientos!$F$2:$F$1013=F984)*(Seguimientos!$B$2:$B$1013&gt;B984)*(Seguimientos!$H$2:$H$1013&lt;&gt;""))=0,1,0))</f>
        <v/>
      </c>
      <c r="K984" s="7">
        <f>A984&amp;"|"&amp;B984</f>
        <v/>
      </c>
      <c r="L984" s="13" t="inlineStr">
        <is>
          <t>Se actualiza el Alcance del Sistema de Gestión Antisoborno, aprobado por los miembros de la Comisión de Gestión en el mes de septiembre, quedando pendiente su formalización en la caracterización del sistema. Impacto: Alineación del alcance del Sistema de Gestión Antisoborno con su certificación. Evidencia: Correo electrónico de la Comisión de Gestión con la aprobación del nuevo alcance.</t>
        </is>
      </c>
    </row>
    <row r="985">
      <c r="A985" s="7" t="inlineStr">
        <is>
          <t>sgas-2024-3</t>
        </is>
      </c>
      <c r="B985" s="7" t="n">
        <v>4</v>
      </c>
      <c r="C985" s="7" t="inlineStr">
        <is>
          <t>SGAS</t>
        </is>
      </c>
      <c r="D985" s="7" t="inlineStr">
        <is>
          <t>2024</t>
        </is>
      </c>
      <c r="E985" s="7" t="n">
        <v>3</v>
      </c>
      <c r="F985" s="8" t="n">
        <v>46021</v>
      </c>
      <c r="G985" s="7" t="inlineStr">
        <is>
          <t>JOAN IMAYINNE GALVIS MORENO</t>
        </is>
      </c>
      <c r="H985" s="14" t="n">
        <v>1.5</v>
      </c>
      <c r="I985" s="15">
        <f>IF(H985="","",H985/2)</f>
        <v/>
      </c>
      <c r="J985" s="7">
        <f>IF(H985="",0,IF(SUMPRODUCT((Seguimientos!$A$2:$A$1013=A985)*(Seguimientos!$F$2:$F$1013=F985)*(Seguimientos!$B$2:$B$1013&gt;B985)*(Seguimientos!$H$2:$H$1013&lt;&gt;""))=0,1,0))</f>
        <v/>
      </c>
      <c r="K985" s="7">
        <f>A985&amp;"|"&amp;B985</f>
        <v/>
      </c>
      <c r="L985" s="13" t="inlineStr">
        <is>
          <t>Se actualiza el Alcance del Sistema de Gestión Antisoborno, aprobado por los miembros de la Comisión de Gestión en el mes de septiembre, quedando pendiente su formalización en la caracterización del sistema.</t>
        </is>
      </c>
    </row>
    <row r="986">
      <c r="A986" s="7" t="inlineStr">
        <is>
          <t>sgas-2024-3</t>
        </is>
      </c>
      <c r="B986" s="7" t="n">
        <v>5</v>
      </c>
      <c r="C986" s="7" t="inlineStr">
        <is>
          <t>SGAS</t>
        </is>
      </c>
      <c r="D986" s="7" t="inlineStr">
        <is>
          <t>2024</t>
        </is>
      </c>
      <c r="E986" s="7" t="n">
        <v>3</v>
      </c>
      <c r="F986" s="8" t="n">
        <v>46203</v>
      </c>
      <c r="G986" s="7" t="inlineStr">
        <is>
          <t>JOAN IMAYINNE GALVIS MORENO</t>
        </is>
      </c>
      <c r="H986" s="14" t="n">
        <v>2</v>
      </c>
      <c r="I986" s="15">
        <f>IF(H986="","",H986/2)</f>
        <v/>
      </c>
      <c r="J986" s="7">
        <f>IF(H986="",0,IF(SUMPRODUCT((Seguimientos!$A$2:$A$1013=A986)*(Seguimientos!$F$2:$F$1013=F986)*(Seguimientos!$B$2:$B$1013&gt;B986)*(Seguimientos!$H$2:$H$1013&lt;&gt;""))=0,1,0))</f>
        <v/>
      </c>
      <c r="K986" s="7">
        <f>A986&amp;"|"&amp;B986</f>
        <v/>
      </c>
      <c r="L986" s="13" t="inlineStr">
        <is>
          <t>Se actualiza el Alcance del Sistema de Gestión Antisoborno, aprobado por los miembros de la Comisión de Gestión en el mes de septiembre, El cual ya se encuentra publicado el manual del sistema de gestion actualizado.</t>
        </is>
      </c>
    </row>
    <row r="987">
      <c r="A987" s="7" t="inlineStr">
        <is>
          <t>sgas-2024-4</t>
        </is>
      </c>
      <c r="B987" s="7" t="n">
        <v>1</v>
      </c>
      <c r="C987" s="7" t="inlineStr">
        <is>
          <t>SGAS</t>
        </is>
      </c>
      <c r="D987" s="7" t="inlineStr">
        <is>
          <t>2024</t>
        </is>
      </c>
      <c r="E987" s="7" t="n">
        <v>4</v>
      </c>
      <c r="F987" s="8" t="n">
        <v>45777</v>
      </c>
      <c r="G987" s="7" t="inlineStr">
        <is>
          <t>DANIEL EDUARDO SOTO BERNAL</t>
        </is>
      </c>
      <c r="H987" s="14" t="n">
        <v>1</v>
      </c>
      <c r="I987" s="15">
        <f>IF(H987="","",H987/2)</f>
        <v/>
      </c>
      <c r="J987" s="7">
        <f>IF(H987="",0,IF(SUMPRODUCT((Seguimientos!$A$2:$A$1013=A987)*(Seguimientos!$F$2:$F$1013=F987)*(Seguimientos!$B$2:$B$1013&gt;B987)*(Seguimientos!$H$2:$H$1013&lt;&gt;""))=0,1,0))</f>
        <v/>
      </c>
      <c r="K987" s="7">
        <f>A987&amp;"|"&amp;B987</f>
        <v/>
      </c>
      <c r="L987" s="13" t="inlineStr">
        <is>
          <t>Se realiza seguimiento y avance en la ejecución de los planes de mejoramiento producto de la auditoría interna realizada en la vigencia 2023 del Sistema de Gestión Antisoborno con un porcentaje total del 92.5%. Se realiza en cargue de los planes de mejoramiento como resultado de la auditoría interna vigencia 2024 y se encuentran en proceso de asesoramiento.</t>
        </is>
      </c>
    </row>
    <row r="988">
      <c r="A988" s="7" t="inlineStr">
        <is>
          <t>sgas-2024-4</t>
        </is>
      </c>
      <c r="B988" s="7" t="n">
        <v>2</v>
      </c>
      <c r="C988" s="7" t="inlineStr">
        <is>
          <t>SGAS</t>
        </is>
      </c>
      <c r="D988" s="7" t="inlineStr">
        <is>
          <t>2024</t>
        </is>
      </c>
      <c r="E988" s="7" t="n">
        <v>4</v>
      </c>
      <c r="F988" s="8" t="n">
        <v>45838</v>
      </c>
      <c r="G988" s="7" t="inlineStr">
        <is>
          <t>DANIEL EDUARDO SOTO BERNAL</t>
        </is>
      </c>
      <c r="H988" s="14" t="n">
        <v>1</v>
      </c>
      <c r="I988" s="15">
        <f>IF(H988="","",H988/2)</f>
        <v/>
      </c>
      <c r="J988" s="7">
        <f>IF(H988="",0,IF(SUMPRODUCT((Seguimientos!$A$2:$A$1013=A988)*(Seguimientos!$F$2:$F$1013=F988)*(Seguimientos!$B$2:$B$1013&gt;B988)*(Seguimientos!$H$2:$H$1013&lt;&gt;""))=0,1,0))</f>
        <v/>
      </c>
      <c r="K988" s="7">
        <f>A988&amp;"|"&amp;B988</f>
        <v/>
      </c>
      <c r="L988" s="13" t="inlineStr">
        <is>
          <t>Se realiza seguimiento y avance en la ejecución de los planes de mejoramiento producto de la auditoría interna realizada en la vigencia 2023 del Sistema de Gestión Antisoborno con un porcentaje total del 92.5%. Se realiza en cargue de los planes de mejoramiento como resultado de la auditoría interna vigencia 2024 y se encuentran en proceso de asesoramiento y ejecución.</t>
        </is>
      </c>
    </row>
    <row r="989">
      <c r="A989" s="7" t="inlineStr">
        <is>
          <t>sgas-2024-4</t>
        </is>
      </c>
      <c r="B989" s="7" t="n">
        <v>3</v>
      </c>
      <c r="C989" s="7" t="inlineStr">
        <is>
          <t>SGAS</t>
        </is>
      </c>
      <c r="D989" s="7" t="inlineStr">
        <is>
          <t>2024</t>
        </is>
      </c>
      <c r="E989" s="7" t="n">
        <v>4</v>
      </c>
      <c r="F989" s="8" t="n">
        <v>45930</v>
      </c>
      <c r="G989" s="7" t="inlineStr">
        <is>
          <t>JOAN IMAYINNE GALVIS MORENO</t>
        </is>
      </c>
      <c r="H989" s="14" t="n">
        <v>1</v>
      </c>
      <c r="I989" s="15">
        <f>IF(H989="","",H989/2)</f>
        <v/>
      </c>
      <c r="J989" s="7">
        <f>IF(H989="",0,IF(SUMPRODUCT((Seguimientos!$A$2:$A$1013=A989)*(Seguimientos!$F$2:$F$1013=F989)*(Seguimientos!$B$2:$B$1013&gt;B989)*(Seguimientos!$H$2:$H$1013&lt;&gt;""))=0,1,0))</f>
        <v/>
      </c>
      <c r="K989" s="7">
        <f>A989&amp;"|"&amp;B989</f>
        <v/>
      </c>
      <c r="L989" s="13" t="inlineStr">
        <is>
          <t>Se realiza seguimiento y avance en la ejecución de los planes de mejoramiento producto de la auditoría interna realizada en la vigencia 2023 del Sistema de Gestión Antisoborno con un porcentaje total del 100%. Se realiza el seguimiento del avance de los planes de mejoramiento como resultado de la auditoría interna vigencia 2024 y se encuentran en proceso de ejecución con un avance del 23%. información contenida en el aplicativo de Acciones correctivas y de mejora. IMPACTO: Cumplimento de acciones correctivas y de mejora establecidas para el sistema de gestión antisoborno y su mejora continua. EVIDENCIA: Se soporta el avance de los planes de mejoramiento del sistema de gestión antisoborno a través del reporte del aplicativo de acciones correctivas y de mejora.</t>
        </is>
      </c>
    </row>
    <row r="990">
      <c r="A990" s="7" t="inlineStr">
        <is>
          <t>sgas-2024-4</t>
        </is>
      </c>
      <c r="B990" s="7" t="n">
        <v>4</v>
      </c>
      <c r="C990" s="7" t="inlineStr">
        <is>
          <t>SGAS</t>
        </is>
      </c>
      <c r="D990" s="7" t="inlineStr">
        <is>
          <t>2024</t>
        </is>
      </c>
      <c r="E990" s="7" t="n">
        <v>4</v>
      </c>
      <c r="F990" s="8" t="n">
        <v>46021</v>
      </c>
      <c r="G990" s="7" t="inlineStr">
        <is>
          <t>JOAN IMAYINNE GALVIS MORENO</t>
        </is>
      </c>
      <c r="H990" s="14" t="n">
        <v>1</v>
      </c>
      <c r="I990" s="15">
        <f>IF(H990="","",H990/2)</f>
        <v/>
      </c>
      <c r="J990" s="7">
        <f>IF(H990="",0,IF(SUMPRODUCT((Seguimientos!$A$2:$A$1013=A990)*(Seguimientos!$F$2:$F$1013=F990)*(Seguimientos!$B$2:$B$1013&gt;B990)*(Seguimientos!$H$2:$H$1013&lt;&gt;""))=0,1,0))</f>
        <v/>
      </c>
      <c r="K990" s="7">
        <f>A990&amp;"|"&amp;B990</f>
        <v/>
      </c>
      <c r="L990" s="13" t="inlineStr">
        <is>
          <t>Se realiza seguimiento y avance en la ejecución de los planes de mejoramiento producto de la auditoría interna realizada en la vigencia 2023 del Sistema de Gestión Antisoborno con un porcentaje total del 100%. Se realiza el seguimiento del avance de los planes de mejoramiento como resultado de la auditoría interna vigencia 2024 y se encuentran en proceso de ejecución con un avance del 57%. información contenida en el aplicativo de Acciones correctivas y de mejora.</t>
        </is>
      </c>
    </row>
    <row r="991">
      <c r="A991" s="7" t="inlineStr">
        <is>
          <t>sgas-2024-4</t>
        </is>
      </c>
      <c r="B991" s="7" t="n">
        <v>5</v>
      </c>
      <c r="C991" s="7" t="inlineStr">
        <is>
          <t>SGAS</t>
        </is>
      </c>
      <c r="D991" s="7" t="inlineStr">
        <is>
          <t>2024</t>
        </is>
      </c>
      <c r="E991" s="7" t="n">
        <v>4</v>
      </c>
      <c r="F991" s="8" t="n">
        <v>46203</v>
      </c>
      <c r="G991" s="7" t="inlineStr">
        <is>
          <t>JOAN IMAYINNE GALVIS MORENO</t>
        </is>
      </c>
      <c r="H991" s="14" t="n">
        <v>1.5</v>
      </c>
      <c r="I991" s="15">
        <f>IF(H991="","",H991/2)</f>
        <v/>
      </c>
      <c r="J991" s="7">
        <f>IF(H991="",0,IF(SUMPRODUCT((Seguimientos!$A$2:$A$1013=A991)*(Seguimientos!$F$2:$F$1013=F991)*(Seguimientos!$B$2:$B$1013&gt;B991)*(Seguimientos!$H$2:$H$1013&lt;&gt;""))=0,1,0))</f>
        <v/>
      </c>
      <c r="K991" s="7">
        <f>A991&amp;"|"&amp;B991</f>
        <v/>
      </c>
      <c r="L991" s="13" t="inlineStr">
        <is>
          <t>Se realiza seguimiento y avance en la ejecución de los planes de mejoramiento producto de la auditoría interna realizada en la vigencia 2023 del Sistema de Gestión Antisoborno con un porcentaje total del 100%. Se realiza el seguimiento del avance de los planes de mejoramiento como resultado de la auditoría interna vigencia 2024 y se encuentran en proceso de ejecución con un avance del 82%. información contenida en el aplicativo de Acciones correctivas y de mejora.</t>
        </is>
      </c>
    </row>
    <row r="992">
      <c r="A992" s="7" t="inlineStr">
        <is>
          <t>sgas-2024-5</t>
        </is>
      </c>
      <c r="B992" s="7" t="n">
        <v>1</v>
      </c>
      <c r="C992" s="7" t="inlineStr">
        <is>
          <t>SGAS</t>
        </is>
      </c>
      <c r="D992" s="7" t="inlineStr">
        <is>
          <t>2024</t>
        </is>
      </c>
      <c r="E992" s="7" t="n">
        <v>5</v>
      </c>
      <c r="F992" s="8" t="n">
        <v>45777</v>
      </c>
      <c r="G992" s="7" t="inlineStr">
        <is>
          <t>DANIEL EDUARDO SOTO BERNAL</t>
        </is>
      </c>
      <c r="H992" s="14" t="n">
        <v>1</v>
      </c>
      <c r="I992" s="15">
        <f>IF(H992="","",H992/2)</f>
        <v/>
      </c>
      <c r="J992" s="7">
        <f>IF(H992="",0,IF(SUMPRODUCT((Seguimientos!$A$2:$A$1013=A992)*(Seguimientos!$F$2:$F$1013=F992)*(Seguimientos!$B$2:$B$1013&gt;B992)*(Seguimientos!$H$2:$H$1013&lt;&gt;""))=0,1,0))</f>
        <v/>
      </c>
      <c r="K992" s="7">
        <f>A992&amp;"|"&amp;B992</f>
        <v/>
      </c>
      <c r="L992" s="13" t="inlineStr">
        <is>
          <t>Se realiza el acompañamiento y sensibilización del Sistema de Gestión Antisoborno para el programa académico de gerencia para el desarrollo organizacional y el proceso de proyectos especiales en el mes de febrero del presente año. C</t>
        </is>
      </c>
    </row>
    <row r="993">
      <c r="A993" s="7" t="inlineStr">
        <is>
          <t>sgas-2024-5</t>
        </is>
      </c>
      <c r="B993" s="7" t="n">
        <v>2</v>
      </c>
      <c r="C993" s="7" t="inlineStr">
        <is>
          <t>SGAS</t>
        </is>
      </c>
      <c r="D993" s="7" t="inlineStr">
        <is>
          <t>2024</t>
        </is>
      </c>
      <c r="E993" s="7" t="n">
        <v>5</v>
      </c>
      <c r="F993" s="8" t="n">
        <v>45838</v>
      </c>
      <c r="G993" s="7" t="inlineStr">
        <is>
          <t>DANIEL EDUARDO SOTO BERNAL</t>
        </is>
      </c>
      <c r="H993" s="14" t="n">
        <v>1</v>
      </c>
      <c r="I993" s="15">
        <f>IF(H993="","",H993/2)</f>
        <v/>
      </c>
      <c r="J993" s="7">
        <f>IF(H993="",0,IF(SUMPRODUCT((Seguimientos!$A$2:$A$1013=A993)*(Seguimientos!$F$2:$F$1013=F993)*(Seguimientos!$B$2:$B$1013&gt;B993)*(Seguimientos!$H$2:$H$1013&lt;&gt;""))=0,1,0))</f>
        <v/>
      </c>
      <c r="K993" s="7">
        <f>A993&amp;"|"&amp;B993</f>
        <v/>
      </c>
      <c r="L993" s="13" t="inlineStr">
        <is>
          <t>Se realiza sensibilización del Sistema de Gestión Antisoborno para el proceso de Interacción Social Universitaria Y Control Interno Disciplinario realizadas 27 y 29 de mayo del 2025 .</t>
        </is>
      </c>
    </row>
    <row r="994">
      <c r="A994" s="7" t="inlineStr">
        <is>
          <t>sgas-2024-5</t>
        </is>
      </c>
      <c r="B994" s="7" t="n">
        <v>3</v>
      </c>
      <c r="C994" s="7" t="inlineStr">
        <is>
          <t>SGAS</t>
        </is>
      </c>
      <c r="D994" s="7" t="inlineStr">
        <is>
          <t>2024</t>
        </is>
      </c>
      <c r="E994" s="7" t="n">
        <v>5</v>
      </c>
      <c r="F994" s="8" t="n">
        <v>45930</v>
      </c>
      <c r="G994" s="7" t="inlineStr">
        <is>
          <t>JOAN IMAYINNE GALVIS MORENO</t>
        </is>
      </c>
      <c r="H994" s="14" t="n">
        <v>2</v>
      </c>
      <c r="I994" s="15">
        <f>IF(H994="","",H994/2)</f>
        <v/>
      </c>
      <c r="J994" s="7">
        <f>IF(H994="",0,IF(SUMPRODUCT((Seguimientos!$A$2:$A$1013=A994)*(Seguimientos!$F$2:$F$1013=F994)*(Seguimientos!$B$2:$B$1013&gt;B994)*(Seguimientos!$H$2:$H$1013&lt;&gt;""))=0,1,0))</f>
        <v/>
      </c>
      <c r="K994" s="7">
        <f>A994&amp;"|"&amp;B994</f>
        <v/>
      </c>
      <c r="L994" s="13" t="inlineStr">
        <is>
          <t>Se realiza la participación en la Primera Jornada de Sensibilización de Integridad y Buen Gobierno realizada en la fecha 16 de julio del 2025 y la jornada de sensibilización - ISO 37001: 2016- Sistema de Gestión Antisoborno en la fecha 04 de agosto del 2025, dirigida al personal administrativos y docente de la universidad, donde se tiene el apoyo de la Oficina de Atención al Ciudadano para la socialización de los diferentes Canales de denuncias implementados en la entidad. IMPACTO: fortalecimiento en la gestión de denuncias de posibles actos de soborno. EVIDENCIA: Se soporta las sensibilizaciones realizadas para el sistema de gestión antisoborno en el 3 trimestre de la vigencia 2025.</t>
        </is>
      </c>
    </row>
    <row r="995">
      <c r="A995" s="7" t="inlineStr">
        <is>
          <t>sgas-2024-5</t>
        </is>
      </c>
      <c r="B995" s="7" t="n">
        <v>4</v>
      </c>
      <c r="C995" s="7" t="inlineStr">
        <is>
          <t>SGAS</t>
        </is>
      </c>
      <c r="D995" s="7" t="inlineStr">
        <is>
          <t>2024</t>
        </is>
      </c>
      <c r="E995" s="7" t="n">
        <v>5</v>
      </c>
      <c r="F995" s="8" t="n">
        <v>46021</v>
      </c>
      <c r="G995" s="7" t="inlineStr">
        <is>
          <t>JOAN IMAYINNE GALVIS MORENO</t>
        </is>
      </c>
      <c r="H995" s="14" t="n">
        <v>2</v>
      </c>
      <c r="I995" s="15">
        <f>IF(H995="","",H995/2)</f>
        <v/>
      </c>
      <c r="J995" s="7">
        <f>IF(H995="",0,IF(SUMPRODUCT((Seguimientos!$A$2:$A$1013=A995)*(Seguimientos!$F$2:$F$1013=F995)*(Seguimientos!$B$2:$B$1013&gt;B995)*(Seguimientos!$H$2:$H$1013&lt;&gt;""))=0,1,0))</f>
        <v/>
      </c>
      <c r="K995" s="7">
        <f>A995&amp;"|"&amp;B995</f>
        <v/>
      </c>
      <c r="L995" s="13" t="inlineStr">
        <is>
          <t>ACTIVIDAD CUMPLIDA</t>
        </is>
      </c>
    </row>
    <row r="996">
      <c r="A996" s="7" t="inlineStr">
        <is>
          <t>sgas-2024-5</t>
        </is>
      </c>
      <c r="B996" s="7" t="n">
        <v>5</v>
      </c>
      <c r="C996" s="7" t="inlineStr">
        <is>
          <t>SGAS</t>
        </is>
      </c>
      <c r="D996" s="7" t="inlineStr">
        <is>
          <t>2024</t>
        </is>
      </c>
      <c r="E996" s="7" t="n">
        <v>5</v>
      </c>
      <c r="F996" s="8" t="n">
        <v>46203</v>
      </c>
      <c r="G996" s="7" t="inlineStr">
        <is>
          <t>JOAN IMAYINNE GALVIS MORENO</t>
        </is>
      </c>
      <c r="H996" s="14" t="n">
        <v>2</v>
      </c>
      <c r="I996" s="15">
        <f>IF(H996="","",H996/2)</f>
        <v/>
      </c>
      <c r="J996" s="7">
        <f>IF(H996="",0,IF(SUMPRODUCT((Seguimientos!$A$2:$A$1013=A996)*(Seguimientos!$F$2:$F$1013=F996)*(Seguimientos!$B$2:$B$1013&gt;B996)*(Seguimientos!$H$2:$H$1013&lt;&gt;""))=0,1,0))</f>
        <v/>
      </c>
      <c r="K996" s="7">
        <f>A996&amp;"|"&amp;B996</f>
        <v/>
      </c>
      <c r="L996" s="13" t="inlineStr">
        <is>
          <t>ACTIVIDAD CUMPLIDA</t>
        </is>
      </c>
    </row>
    <row r="997">
      <c r="A997" s="7" t="inlineStr">
        <is>
          <t>sgas-2024-6</t>
        </is>
      </c>
      <c r="B997" s="7" t="n">
        <v>1</v>
      </c>
      <c r="C997" s="7" t="inlineStr">
        <is>
          <t>SGAS</t>
        </is>
      </c>
      <c r="D997" s="7" t="inlineStr">
        <is>
          <t>2024</t>
        </is>
      </c>
      <c r="E997" s="7" t="n">
        <v>6</v>
      </c>
      <c r="F997" s="8" t="n">
        <v>45777</v>
      </c>
      <c r="G997" s="7" t="inlineStr">
        <is>
          <t>DANIEL EDUARDO SOTO BERNAL</t>
        </is>
      </c>
      <c r="H997" s="14" t="n">
        <v>0</v>
      </c>
      <c r="I997" s="15">
        <f>IF(H997="","",H997/2)</f>
        <v/>
      </c>
      <c r="J997" s="7">
        <f>IF(H997="",0,IF(SUMPRODUCT((Seguimientos!$A$2:$A$1013=A997)*(Seguimientos!$F$2:$F$1013=F997)*(Seguimientos!$B$2:$B$1013&gt;B997)*(Seguimientos!$H$2:$H$1013&lt;&gt;""))=0,1,0))</f>
        <v/>
      </c>
      <c r="K997" s="7">
        <f>A997&amp;"|"&amp;B997</f>
        <v/>
      </c>
      <c r="L997" s="13" t="inlineStr">
        <is>
          <t>EN TÉRMINOS DE EJECUCIÓN</t>
        </is>
      </c>
    </row>
    <row r="998">
      <c r="A998" s="7" t="inlineStr">
        <is>
          <t>sgas-2024-6</t>
        </is>
      </c>
      <c r="B998" s="7" t="n">
        <v>2</v>
      </c>
      <c r="C998" s="7" t="inlineStr">
        <is>
          <t>SGAS</t>
        </is>
      </c>
      <c r="D998" s="7" t="inlineStr">
        <is>
          <t>2024</t>
        </is>
      </c>
      <c r="E998" s="7" t="n">
        <v>6</v>
      </c>
      <c r="F998" s="8" t="n">
        <v>45838</v>
      </c>
      <c r="G998" s="7" t="inlineStr">
        <is>
          <t>DANIEL EDUARDO SOTO BERNAL</t>
        </is>
      </c>
      <c r="H998" s="14" t="n">
        <v>1</v>
      </c>
      <c r="I998" s="15">
        <f>IF(H998="","",H998/2)</f>
        <v/>
      </c>
      <c r="J998" s="7">
        <f>IF(H998="",0,IF(SUMPRODUCT((Seguimientos!$A$2:$A$1013=A998)*(Seguimientos!$F$2:$F$1013=F998)*(Seguimientos!$B$2:$B$1013&gt;B998)*(Seguimientos!$H$2:$H$1013&lt;&gt;""))=0,1,0))</f>
        <v/>
      </c>
      <c r="K998" s="7">
        <f>A998&amp;"|"&amp;B998</f>
        <v/>
      </c>
      <c r="L998" s="13" t="inlineStr">
        <is>
          <t>Se realiza solicitud de denuncias presentadas por parte de la comunidad universitaria de posibles hechos o actos de soborno, a través de correo electrónico a los procesos de Atención al Ciudadano y Control Interno Disciplinario, donde se informa que para el primer semestre de la presente videncia no se han relacionado PQRS en referencia a Soborno. Queda pendiente solicitud de las vigencias anteriores para el proceso de Control Disciplinario.</t>
        </is>
      </c>
    </row>
    <row r="999">
      <c r="A999" s="7" t="inlineStr">
        <is>
          <t>sgas-2024-6</t>
        </is>
      </c>
      <c r="B999" s="7" t="n">
        <v>3</v>
      </c>
      <c r="C999" s="7" t="inlineStr">
        <is>
          <t>SGAS</t>
        </is>
      </c>
      <c r="D999" s="7" t="inlineStr">
        <is>
          <t>2024</t>
        </is>
      </c>
      <c r="E999" s="7" t="n">
        <v>6</v>
      </c>
      <c r="F999" s="8" t="n">
        <v>45930</v>
      </c>
      <c r="G999" s="7" t="inlineStr">
        <is>
          <t>JOAN IMAYINNE GALVIS MORENO</t>
        </is>
      </c>
      <c r="H999" s="14" t="n">
        <v>1</v>
      </c>
      <c r="I999" s="15">
        <f>IF(H999="","",H999/2)</f>
        <v/>
      </c>
      <c r="J999" s="7">
        <f>IF(H999="",0,IF(SUMPRODUCT((Seguimientos!$A$2:$A$1013=A999)*(Seguimientos!$F$2:$F$1013=F999)*(Seguimientos!$B$2:$B$1013&gt;B999)*(Seguimientos!$H$2:$H$1013&lt;&gt;""))=0,1,0))</f>
        <v/>
      </c>
      <c r="K999" s="7">
        <f>A999&amp;"|"&amp;B999</f>
        <v/>
      </c>
      <c r="L999" s="13" t="inlineStr">
        <is>
          <t>Se realiza solicitud de denuncias e investigaciones realizadas en la vigencia 2024 al proceso de Control Interno Disciplinario y esta pendiente la respuesta por parte del proceso en mencion. IMPACTO: identificación y trazabilidad de posibles denuncias presentadas en vigencias anteriores y poder así fortalecer la gestión de riesgos de soborno. EVIDENCIA: Se soporta solicitud de denuncias de la vigencia 2024 para el proceso de control disciplinario para el tercer trimestre vigencia 2025.</t>
        </is>
      </c>
    </row>
    <row r="1000">
      <c r="A1000" s="7" t="inlineStr">
        <is>
          <t>sgas-2024-6</t>
        </is>
      </c>
      <c r="B1000" s="7" t="n">
        <v>4</v>
      </c>
      <c r="C1000" s="7" t="inlineStr">
        <is>
          <t>SGAS</t>
        </is>
      </c>
      <c r="D1000" s="7" t="inlineStr">
        <is>
          <t>2024</t>
        </is>
      </c>
      <c r="E1000" s="7" t="n">
        <v>6</v>
      </c>
      <c r="F1000" s="8" t="n">
        <v>46021</v>
      </c>
      <c r="G1000" s="7" t="inlineStr">
        <is>
          <t>JOAN IMAYINNE GALVIS MORENO</t>
        </is>
      </c>
      <c r="H1000" s="14" t="n">
        <v>1</v>
      </c>
      <c r="I1000" s="15">
        <f>IF(H1000="","",H1000/2)</f>
        <v/>
      </c>
      <c r="J1000" s="7">
        <f>IF(H1000="",0,IF(SUMPRODUCT((Seguimientos!$A$2:$A$1013=A1000)*(Seguimientos!$F$2:$F$1013=F1000)*(Seguimientos!$B$2:$B$1013&gt;B1000)*(Seguimientos!$H$2:$H$1013&lt;&gt;""))=0,1,0))</f>
        <v/>
      </c>
      <c r="K1000" s="7">
        <f>A1000&amp;"|"&amp;B1000</f>
        <v/>
      </c>
      <c r="L1000" s="13" t="inlineStr">
        <is>
          <t>Se realiza solicitud de denuncias e investigaciones realizadas en la vigencia 2024 al proceso de Control Interno Disciplinario y está pendiente la respuesta por parte del proceso en mención. IMPACTO: identificación y trazabilidad de posibles denuncias presentadas en vigencias anteriores y poder así fortalecer la gestión de riesgos de soborno. EVIDENCIA: Se soporta solicitud de denuncias de la vigencia 2024 para el proceso de control disciplinario para el tercer trimestre vigencia 2025.</t>
        </is>
      </c>
    </row>
    <row r="1001">
      <c r="A1001" s="7" t="inlineStr">
        <is>
          <t>sgas-2024-6</t>
        </is>
      </c>
      <c r="B1001" s="7" t="n">
        <v>5</v>
      </c>
      <c r="C1001" s="7" t="inlineStr">
        <is>
          <t>SGAS</t>
        </is>
      </c>
      <c r="D1001" s="7" t="inlineStr">
        <is>
          <t>2024</t>
        </is>
      </c>
      <c r="E1001" s="7" t="n">
        <v>6</v>
      </c>
      <c r="F1001" s="8" t="n">
        <v>46203</v>
      </c>
      <c r="G1001" s="7" t="inlineStr">
        <is>
          <t>JOAN IMAYINNE GALVIS MORENO</t>
        </is>
      </c>
      <c r="H1001" s="14" t="n">
        <v>2</v>
      </c>
      <c r="I1001" s="15">
        <f>IF(H1001="","",H1001/2)</f>
        <v/>
      </c>
      <c r="J1001" s="7">
        <f>IF(H1001="",0,IF(SUMPRODUCT((Seguimientos!$A$2:$A$1013=A1001)*(Seguimientos!$F$2:$F$1013=F1001)*(Seguimientos!$B$2:$B$1013&gt;B1001)*(Seguimientos!$H$2:$H$1013&lt;&gt;""))=0,1,0))</f>
        <v/>
      </c>
      <c r="K1001" s="7">
        <f>A1001&amp;"|"&amp;B1001</f>
        <v/>
      </c>
      <c r="L1001" s="13" t="inlineStr">
        <is>
          <t>Se realiza solicitud de denuncias e investigaciones realizadas en la vigencia 2025 al proceso de Control Interno Disciplinario con fecha de febrero del 2026. es importante resaltar que se tiene establecidos 2 solicitudes de reporte de denuncias por cada vigencia</t>
        </is>
      </c>
    </row>
    <row r="1002">
      <c r="A1002" s="7" t="inlineStr">
        <is>
          <t>sgas-2025-1</t>
        </is>
      </c>
      <c r="B1002" s="7" t="n">
        <v>1</v>
      </c>
      <c r="C1002" s="7" t="inlineStr">
        <is>
          <t>SGAS</t>
        </is>
      </c>
      <c r="D1002" s="7" t="inlineStr">
        <is>
          <t>2025</t>
        </is>
      </c>
      <c r="E1002" s="7" t="n">
        <v>1</v>
      </c>
      <c r="F1002" s="8" t="n">
        <v>46142</v>
      </c>
      <c r="G1002" s="7" t="inlineStr">
        <is>
          <t>JOAN IMAYINNE GALVIS MORENO</t>
        </is>
      </c>
      <c r="H1002" s="14" t="n">
        <v>0</v>
      </c>
      <c r="I1002" s="15">
        <f>IF(H1002="","",H1002/2)</f>
        <v/>
      </c>
      <c r="J1002" s="7">
        <f>IF(H1002="",0,IF(SUMPRODUCT((Seguimientos!$A$2:$A$1013=A1002)*(Seguimientos!$F$2:$F$1013=F1002)*(Seguimientos!$B$2:$B$1013&gt;B1002)*(Seguimientos!$H$2:$H$1013&lt;&gt;""))=0,1,0))</f>
        <v/>
      </c>
      <c r="K1002" s="7">
        <f>A1002&amp;"|"&amp;B1002</f>
        <v/>
      </c>
      <c r="L1002" s="13" t="inlineStr">
        <is>
          <t>Actividad en proceso, no presenta avance a la fecha. Por fechas aun tienen plazo de realizar la actividad</t>
        </is>
      </c>
    </row>
    <row r="1003">
      <c r="A1003" s="7" t="inlineStr">
        <is>
          <t>sgas-2025-1</t>
        </is>
      </c>
      <c r="B1003" s="7" t="n">
        <v>2</v>
      </c>
      <c r="C1003" s="7" t="inlineStr">
        <is>
          <t>SGAS</t>
        </is>
      </c>
      <c r="D1003" s="7" t="inlineStr">
        <is>
          <t>2025</t>
        </is>
      </c>
      <c r="E1003" s="7" t="n">
        <v>1</v>
      </c>
      <c r="F1003" s="8" t="n">
        <v>46203</v>
      </c>
      <c r="G1003" s="7" t="inlineStr">
        <is>
          <t>JOAN IMAYINNE GALVIS MORENO</t>
        </is>
      </c>
      <c r="H1003" s="14" t="n">
        <v>1</v>
      </c>
      <c r="I1003" s="15">
        <f>IF(H1003="","",H1003/2)</f>
        <v/>
      </c>
      <c r="J1003" s="7">
        <f>IF(H1003="",0,IF(SUMPRODUCT((Seguimientos!$A$2:$A$1013=A1003)*(Seguimientos!$F$2:$F$1013=F1003)*(Seguimientos!$B$2:$B$1013&gt;B1003)*(Seguimientos!$H$2:$H$1013&lt;&gt;""))=0,1,0))</f>
        <v/>
      </c>
      <c r="K1003" s="7">
        <f>A1003&amp;"|"&amp;B1003</f>
        <v/>
      </c>
      <c r="L1003" s="13" t="inlineStr">
        <is>
          <t>Se realiza la documentación gestión del cambio para el sistema de gestión antisoborno con la relación de los cambios establecidos en la NORMA ISO 37001: 2025, Queda pendiente dar cumplimiento a las actividades establecidas en la gestión del cambio.</t>
        </is>
      </c>
    </row>
    <row r="1004">
      <c r="A1004" s="7" t="inlineStr">
        <is>
          <t>sgas-2025-1</t>
        </is>
      </c>
      <c r="B1004" s="7" t="n">
        <v>3</v>
      </c>
      <c r="C1004" s="7" t="inlineStr">
        <is>
          <t>SGAS</t>
        </is>
      </c>
      <c r="D1004" s="7" t="inlineStr">
        <is>
          <t>2025</t>
        </is>
      </c>
      <c r="E1004" s="7" t="n">
        <v>1</v>
      </c>
      <c r="F1004" s="8" t="n">
        <v>46295</v>
      </c>
      <c r="G1004" s="7" t="inlineStr">
        <is>
          <t>JOAN IMAYINNE GALVIS MORENO</t>
        </is>
      </c>
      <c r="H1004" s="14" t="n">
        <v>1.5</v>
      </c>
      <c r="I1004" s="15">
        <f>IF(H1004="","",H1004/2)</f>
        <v/>
      </c>
      <c r="J1004" s="7">
        <f>IF(H1004="",0,IF(SUMPRODUCT((Seguimientos!$A$2:$A$1013=A1004)*(Seguimientos!$F$2:$F$1013=F1004)*(Seguimientos!$B$2:$B$1013&gt;B1004)*(Seguimientos!$H$2:$H$1013&lt;&gt;""))=0,1,0))</f>
        <v/>
      </c>
      <c r="K1004" s="7">
        <f>A1004&amp;"|"&amp;B1004</f>
        <v/>
      </c>
      <c r="L1004" s="13" t="inlineStr">
        <is>
          <t>Se realiza la documentación y la ejecución de la gestión del cambio para el sistema de gestión antisoborno con la relación de los cambios establecidos en la NORMA ISO 37001: 2025, de igual manera se realiza la ejecución de auditoría externa de seguimiento ICONTEC para actualización de la norma ISO 37001:2025 en el mes de agosto del presente año, queda pendiente cumplimiento total de la gestión del cambio.</t>
        </is>
      </c>
    </row>
    <row r="1005">
      <c r="A1005" s="7" t="inlineStr">
        <is>
          <t>sgas-2025-2</t>
        </is>
      </c>
      <c r="B1005" s="7" t="n">
        <v>1</v>
      </c>
      <c r="C1005" s="7" t="inlineStr">
        <is>
          <t>SGAS</t>
        </is>
      </c>
      <c r="D1005" s="7" t="inlineStr">
        <is>
          <t>2025</t>
        </is>
      </c>
      <c r="E1005" s="7" t="n">
        <v>2</v>
      </c>
      <c r="F1005" s="8" t="n">
        <v>46142</v>
      </c>
      <c r="G1005" s="7" t="inlineStr">
        <is>
          <t>JOAN IMAYINNE GALVIS MORENO</t>
        </is>
      </c>
      <c r="H1005" s="14" t="n">
        <v>0</v>
      </c>
      <c r="I1005" s="15">
        <f>IF(H1005="","",H1005/2)</f>
        <v/>
      </c>
      <c r="J1005" s="7">
        <f>IF(H1005="",0,IF(SUMPRODUCT((Seguimientos!$A$2:$A$1013=A1005)*(Seguimientos!$F$2:$F$1013=F1005)*(Seguimientos!$B$2:$B$1013&gt;B1005)*(Seguimientos!$H$2:$H$1013&lt;&gt;""))=0,1,0))</f>
        <v/>
      </c>
      <c r="K1005" s="7">
        <f>A1005&amp;"|"&amp;B1005</f>
        <v/>
      </c>
      <c r="L1005" s="13" t="inlineStr">
        <is>
          <t>Actividad en proceso, no presenta avance a la fecha. Por fechas aun tienen plazo de realizar la actividad</t>
        </is>
      </c>
    </row>
    <row r="1006">
      <c r="A1006" s="7" t="inlineStr">
        <is>
          <t>sgas-2025-2</t>
        </is>
      </c>
      <c r="B1006" s="7" t="n">
        <v>2</v>
      </c>
      <c r="C1006" s="7" t="inlineStr">
        <is>
          <t>SGAS</t>
        </is>
      </c>
      <c r="D1006" s="7" t="inlineStr">
        <is>
          <t>2025</t>
        </is>
      </c>
      <c r="E1006" s="7" t="n">
        <v>2</v>
      </c>
      <c r="F1006" s="8" t="n">
        <v>46203</v>
      </c>
      <c r="G1006" s="7" t="inlineStr">
        <is>
          <t>JOAN IMAYINNE GALVIS MORENO</t>
        </is>
      </c>
      <c r="H1006" s="14" t="n">
        <v>1</v>
      </c>
      <c r="I1006" s="15">
        <f>IF(H1006="","",H1006/2)</f>
        <v/>
      </c>
      <c r="J1006" s="7">
        <f>IF(H1006="",0,IF(SUMPRODUCT((Seguimientos!$A$2:$A$1013=A1006)*(Seguimientos!$F$2:$F$1013=F1006)*(Seguimientos!$B$2:$B$1013&gt;B1006)*(Seguimientos!$H$2:$H$1013&lt;&gt;""))=0,1,0))</f>
        <v/>
      </c>
      <c r="K1006" s="7">
        <f>A1006&amp;"|"&amp;B1006</f>
        <v/>
      </c>
      <c r="L1006" s="13" t="inlineStr">
        <is>
          <t>Dentro de los avances establecidos para la actualización de la matriz de riesgos de soborno, se realizaron las mesas de trabajo con todos los procesos de la universidad para la revisión y actualización de la gestión de riesgos, se realiza el monitoreo de los riesgos de soborno y corrupción primer semestre de la vigencia 2026. Se recomienda para el proximo seguimiento, ver la actulizacion de las matrices</t>
        </is>
      </c>
    </row>
    <row r="1007">
      <c r="A1007" s="7" t="inlineStr">
        <is>
          <t>sgas-2025-2</t>
        </is>
      </c>
      <c r="B1007" s="7" t="n">
        <v>3</v>
      </c>
      <c r="C1007" s="7" t="inlineStr">
        <is>
          <t>SGAS</t>
        </is>
      </c>
      <c r="D1007" s="7" t="inlineStr">
        <is>
          <t>2025</t>
        </is>
      </c>
      <c r="E1007" s="7" t="n">
        <v>2</v>
      </c>
      <c r="F1007" s="8" t="n">
        <v>46295</v>
      </c>
      <c r="G1007" s="7" t="inlineStr">
        <is>
          <t>JOAN IMAYINNE GALVIS MORENO</t>
        </is>
      </c>
      <c r="H1007" s="14" t="n">
        <v>2</v>
      </c>
      <c r="I1007" s="15">
        <f>IF(H1007="","",H1007/2)</f>
        <v/>
      </c>
      <c r="J1007" s="7">
        <f>IF(H1007="",0,IF(SUMPRODUCT((Seguimientos!$A$2:$A$1013=A1007)*(Seguimientos!$F$2:$F$1013=F1007)*(Seguimientos!$B$2:$B$1013&gt;B1007)*(Seguimientos!$H$2:$H$1013&lt;&gt;""))=0,1,0))</f>
        <v/>
      </c>
      <c r="K1007" s="7">
        <f>A1007&amp;"|"&amp;B1007</f>
        <v/>
      </c>
      <c r="L1007" s="13" t="inlineStr">
        <is>
          <t>Dentro de los avances establecidos para la actualización de la matriz de riesgos de soborno, se realizaron las mesas de trabajo con todos los procesos de la universidad para la revisión y actualización de la gestión de riesgos, se realiza el monitoreo de los riesgos de soborno y corrupción primer semestre de la vigencia 2026, se identifican 223 riesgos de soborno y corrupción con respecto al año anterior con 173 riesgos identificados.</t>
        </is>
      </c>
    </row>
    <row r="1008">
      <c r="A1008" s="7" t="inlineStr">
        <is>
          <t>sgas-2025-3</t>
        </is>
      </c>
      <c r="B1008" s="7" t="n">
        <v>1</v>
      </c>
      <c r="C1008" s="7" t="inlineStr">
        <is>
          <t>SGAS</t>
        </is>
      </c>
      <c r="D1008" s="7" t="inlineStr">
        <is>
          <t>2025</t>
        </is>
      </c>
      <c r="E1008" s="7" t="n">
        <v>3</v>
      </c>
      <c r="F1008" s="8" t="n">
        <v>46142</v>
      </c>
      <c r="G1008" s="7" t="inlineStr">
        <is>
          <t>JOAN IMAYINNE GALVIS MORENO</t>
        </is>
      </c>
      <c r="H1008" s="14" t="n">
        <v>0</v>
      </c>
      <c r="I1008" s="15">
        <f>IF(H1008="","",H1008/2)</f>
        <v/>
      </c>
      <c r="J1008" s="7">
        <f>IF(H1008="",0,IF(SUMPRODUCT((Seguimientos!$A$2:$A$1013=A1008)*(Seguimientos!$F$2:$F$1013=F1008)*(Seguimientos!$B$2:$B$1013&gt;B1008)*(Seguimientos!$H$2:$H$1013&lt;&gt;""))=0,1,0))</f>
        <v/>
      </c>
      <c r="K1008" s="7">
        <f>A1008&amp;"|"&amp;B1008</f>
        <v/>
      </c>
      <c r="L1008" s="13" t="inlineStr">
        <is>
          <t>Actividad en proceso, no presenta avance a la fecha. Por fechas aun tienen plazo de realizar la actividad</t>
        </is>
      </c>
    </row>
    <row r="1009">
      <c r="A1009" s="7" t="inlineStr">
        <is>
          <t>sgas-2025-3</t>
        </is>
      </c>
      <c r="B1009" s="7" t="n">
        <v>2</v>
      </c>
      <c r="C1009" s="7" t="inlineStr">
        <is>
          <t>SGAS</t>
        </is>
      </c>
      <c r="D1009" s="7" t="inlineStr">
        <is>
          <t>2025</t>
        </is>
      </c>
      <c r="E1009" s="7" t="n">
        <v>3</v>
      </c>
      <c r="F1009" s="8" t="n">
        <v>46203</v>
      </c>
      <c r="G1009" s="7" t="inlineStr">
        <is>
          <t>JOAN IMAYINNE GALVIS MORENO</t>
        </is>
      </c>
      <c r="H1009" s="14" t="n">
        <v>2</v>
      </c>
      <c r="I1009" s="15">
        <f>IF(H1009="","",H1009/2)</f>
        <v/>
      </c>
      <c r="J1009" s="7">
        <f>IF(H1009="",0,IF(SUMPRODUCT((Seguimientos!$A$2:$A$1013=A1009)*(Seguimientos!$F$2:$F$1013=F1009)*(Seguimientos!$B$2:$B$1013&gt;B1009)*(Seguimientos!$H$2:$H$1013&lt;&gt;""))=0,1,0))</f>
        <v/>
      </c>
      <c r="K1009" s="7">
        <f>A1009&amp;"|"&amp;B1009</f>
        <v/>
      </c>
      <c r="L1009" s="13" t="inlineStr">
        <is>
          <t>Se realiza la participación en las Jornadas de preparación de auditoría interna y externa vigencia 2026 para las unidades regionales de la universidad, donde se realiza la socialización de lineamientos establecidos para la prevención del soborno, política antisoborno, riesgos de soborno, conductas indebidas, manejo de las donaciones, beneficios y hospitalidades así como canales de denuncia definidos por la organización para el reporte de posibles actos o hechos de soborno y corrupción dentro de la universidad en el cumplimiento del Sistema de Gestión Antisoborno, adicionalmente se realiza la creación de piezas graficas con el apoyo de la Oficina Asesora de Comunicaciones y se lleva a cabo su divulgación a través de correo masivos institucionales y redes sociales, adicionalmente se realiza la participación en la primera jornada de la transparencia y Ética pública por parte del Sistema de Gestión Antisoborno.</t>
        </is>
      </c>
    </row>
    <row r="1010">
      <c r="A1010" s="7" t="inlineStr">
        <is>
          <t>sgas-2025-3</t>
        </is>
      </c>
      <c r="B1010" s="7" t="n">
        <v>3</v>
      </c>
      <c r="C1010" s="7" t="inlineStr">
        <is>
          <t>SGAS</t>
        </is>
      </c>
      <c r="D1010" s="7" t="inlineStr">
        <is>
          <t>2025</t>
        </is>
      </c>
      <c r="E1010" s="7" t="n">
        <v>3</v>
      </c>
      <c r="F1010" s="8" t="n">
        <v>46295</v>
      </c>
      <c r="G1010" s="7" t="inlineStr">
        <is>
          <t>JOAN IMAYINNE GALVIS MORENO</t>
        </is>
      </c>
      <c r="H1010" s="14" t="n">
        <v>2</v>
      </c>
      <c r="I1010" s="15">
        <f>IF(H1010="","",H1010/2)</f>
        <v/>
      </c>
      <c r="J1010" s="7">
        <f>IF(H1010="",0,IF(SUMPRODUCT((Seguimientos!$A$2:$A$1013=A1010)*(Seguimientos!$F$2:$F$1013=F1010)*(Seguimientos!$B$2:$B$1013&gt;B1010)*(Seguimientos!$H$2:$H$1013&lt;&gt;""))=0,1,0))</f>
        <v/>
      </c>
      <c r="K1010" s="7">
        <f>A1010&amp;"|"&amp;B1010</f>
        <v/>
      </c>
      <c r="L1010" s="13" t="inlineStr">
        <is>
          <t>CUMPLIDA</t>
        </is>
      </c>
    </row>
    <row r="1011">
      <c r="A1011" s="7" t="inlineStr">
        <is>
          <t>sgas-2025-4</t>
        </is>
      </c>
      <c r="B1011" s="7" t="n">
        <v>1</v>
      </c>
      <c r="C1011" s="7" t="inlineStr">
        <is>
          <t>SGAS</t>
        </is>
      </c>
      <c r="D1011" s="7" t="inlineStr">
        <is>
          <t>2025</t>
        </is>
      </c>
      <c r="E1011" s="7" t="n">
        <v>4</v>
      </c>
      <c r="F1011" s="8" t="n">
        <v>46142</v>
      </c>
      <c r="G1011" s="7" t="inlineStr">
        <is>
          <t>JOAN IMAYINNE GALVIS MORENO</t>
        </is>
      </c>
      <c r="H1011" s="14" t="n">
        <v>0</v>
      </c>
      <c r="I1011" s="15">
        <f>IF(H1011="","",H1011/2)</f>
        <v/>
      </c>
      <c r="J1011" s="7">
        <f>IF(H1011="",0,IF(SUMPRODUCT((Seguimientos!$A$2:$A$1013=A1011)*(Seguimientos!$F$2:$F$1013=F1011)*(Seguimientos!$B$2:$B$1013&gt;B1011)*(Seguimientos!$H$2:$H$1013&lt;&gt;""))=0,1,0))</f>
        <v/>
      </c>
      <c r="K1011" s="7">
        <f>A1011&amp;"|"&amp;B1011</f>
        <v/>
      </c>
      <c r="L1011" s="13" t="inlineStr">
        <is>
          <t>Actividad en proceso, no presenta avance a la fecha. Por fechas aun tienen plazo de realizar la actividad</t>
        </is>
      </c>
    </row>
    <row r="1012">
      <c r="A1012" s="7" t="inlineStr">
        <is>
          <t>sgas-2025-4</t>
        </is>
      </c>
      <c r="B1012" s="7" t="n">
        <v>2</v>
      </c>
      <c r="C1012" s="7" t="inlineStr">
        <is>
          <t>SGAS</t>
        </is>
      </c>
      <c r="D1012" s="7" t="inlineStr">
        <is>
          <t>2025</t>
        </is>
      </c>
      <c r="E1012" s="7" t="n">
        <v>4</v>
      </c>
      <c r="F1012" s="8" t="n">
        <v>46203</v>
      </c>
      <c r="G1012" s="7" t="inlineStr">
        <is>
          <t>JOAN IMAYINNE GALVIS MORENO</t>
        </is>
      </c>
      <c r="H1012" s="14" t="n">
        <v>1</v>
      </c>
      <c r="I1012" s="15">
        <f>IF(H1012="","",H1012/2)</f>
        <v/>
      </c>
      <c r="J1012" s="7">
        <f>IF(H1012="",0,IF(SUMPRODUCT((Seguimientos!$A$2:$A$1013=A1012)*(Seguimientos!$F$2:$F$1013=F1012)*(Seguimientos!$B$2:$B$1013&gt;B1012)*(Seguimientos!$H$2:$H$1013&lt;&gt;""))=0,1,0))</f>
        <v/>
      </c>
      <c r="K1012" s="7">
        <f>A1012&amp;"|"&amp;B1012</f>
        <v/>
      </c>
      <c r="L1012" s="13" t="inlineStr">
        <is>
          <t>Se encuentran en la actualizacion del procedimiento de debida diligencia con todos los procesos que intervienen en él. Queda pendiente consolidación del documento para su actualización.</t>
        </is>
      </c>
    </row>
    <row r="1013">
      <c r="A1013" s="7" t="inlineStr">
        <is>
          <t>sgas-2025-4</t>
        </is>
      </c>
      <c r="B1013" s="7" t="n">
        <v>3</v>
      </c>
      <c r="C1013" s="7" t="inlineStr">
        <is>
          <t>SGAS</t>
        </is>
      </c>
      <c r="D1013" s="7" t="inlineStr">
        <is>
          <t>2025</t>
        </is>
      </c>
      <c r="E1013" s="7" t="n">
        <v>4</v>
      </c>
      <c r="F1013" s="8" t="n">
        <v>46295</v>
      </c>
      <c r="G1013" s="7" t="inlineStr">
        <is>
          <t>JOAN IMAYINNE GALVIS MORENO</t>
        </is>
      </c>
      <c r="H1013" s="14" t="n">
        <v>2</v>
      </c>
      <c r="I1013" s="15">
        <f>IF(H1013="","",H1013/2)</f>
        <v/>
      </c>
      <c r="J1013" s="7">
        <f>IF(H1013="",0,IF(SUMPRODUCT((Seguimientos!$A$2:$A$1013=A1013)*(Seguimientos!$F$2:$F$1013=F1013)*(Seguimientos!$B$2:$B$1013&gt;B1013)*(Seguimientos!$H$2:$H$1013&lt;&gt;""))=0,1,0))</f>
        <v/>
      </c>
      <c r="K1013" s="7">
        <f>A1013&amp;"|"&amp;B1013</f>
        <v/>
      </c>
      <c r="L1013" s="13" t="inlineStr">
        <is>
          <t>Se realiza la actualización del procedimiento de debida diligencia con todos los procesos que intervienen en él y la aplicabilidad para cada uno de siguientes los procesos: Bienes y Servicios, Talento Humano, Interacción Social Universitaria, Proyectos especiales y Relaciones Interinstitucionales y Dialogando con el Mundo.</t>
        </is>
      </c>
    </row>
  </sheetData>
  <autoFilter ref="A1:L1013"/>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2" customWidth="1" min="3" max="3"/>
  </cols>
  <sheetData>
    <row r="1" ht="30" customHeight="1">
      <c r="A1" s="6" t="inlineStr">
        <is>
          <t>Calificación</t>
        </is>
      </c>
      <c r="B1" s="6" t="inlineStr">
        <is>
          <t>Estado</t>
        </is>
      </c>
      <c r="C1" s="6" t="inlineStr">
        <is>
          <t>Avance</t>
        </is>
      </c>
    </row>
    <row r="2">
      <c r="A2" s="7" t="n">
        <v>0</v>
      </c>
      <c r="B2" s="7" t="inlineStr">
        <is>
          <t>Sin avance</t>
        </is>
      </c>
      <c r="C2" s="15">
        <f>A2/2</f>
        <v/>
      </c>
    </row>
    <row r="3">
      <c r="A3" s="7" t="n">
        <v>0.5</v>
      </c>
      <c r="B3" s="7" t="inlineStr">
        <is>
          <t>Avance mínimo</t>
        </is>
      </c>
      <c r="C3" s="15">
        <f>A3/2</f>
        <v/>
      </c>
    </row>
    <row r="4">
      <c r="A4" s="7" t="n">
        <v>1</v>
      </c>
      <c r="B4" s="7" t="inlineStr">
        <is>
          <t>Avance parcial</t>
        </is>
      </c>
      <c r="C4" s="15">
        <f>A4/2</f>
        <v/>
      </c>
    </row>
    <row r="5">
      <c r="A5" s="7" t="n">
        <v>1.5</v>
      </c>
      <c r="B5" s="7" t="inlineStr">
        <is>
          <t>Avance significativo</t>
        </is>
      </c>
      <c r="C5" s="15">
        <f>A5/2</f>
        <v/>
      </c>
    </row>
    <row r="6">
      <c r="A6" s="7" t="n">
        <v>2</v>
      </c>
      <c r="B6" s="7" t="inlineStr">
        <is>
          <t>Cumplida</t>
        </is>
      </c>
      <c r="C6" s="15">
        <f>A6/2</f>
        <v/>
      </c>
    </row>
    <row r="8">
      <c r="A8" s="2" t="inlineStr">
        <is>
          <t>Escala institucional de la RXD: 2 = 100 % (cumplida). Avance = calificación ÷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2026-10-14T13:57:42Z</dcterms:created>
  <dcterms:modified xmlns:dcterms="http://purl.org/dc/terms/" xmlns:xsi="http://www.w3.org/2001/XMLSchema-instance" xsi:type="dcterms:W3CDTF">2026-10-14T13:57:42Z</dcterms:modified>
</cp:coreProperties>
</file>